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Tổng Quan" sheetId="1" r:id="rId5"/>
    <sheet state="visible" name="Chi Tiết 52 Tuần" sheetId="2" r:id="rId6"/>
    <sheet state="visible" name="Danh Mục Tài Liệu" sheetId="3" r:id="rId7"/>
    <sheet state="visible" name="Lịch Học Tuần" sheetId="4" r:id="rId8"/>
    <sheet state="visible" name="Theo Dõi Mock Test" sheetId="5" r:id="rId9"/>
  </sheets>
  <definedNames/>
  <calcPr/>
</workbook>
</file>

<file path=xl/sharedStrings.xml><?xml version="1.0" encoding="utf-8"?>
<sst xmlns="http://schemas.openxmlformats.org/spreadsheetml/2006/main" count="838" uniqueCount="641">
  <si>
    <t>DASHBOARD THEO DÕI TIẾN ĐỘ TỔNG QUAN - IELTS 7.0 (12 THÁNG / 52 TUẦN)</t>
  </si>
  <si>
    <t>DANH MỤC TÀI LIỆU &amp; GIÁO TRÌNH CHUẨN CHO 12 THÁNG ÔN THI IELTS 7.0</t>
  </si>
  <si>
    <t>Hệ thống tự động cập nhật tiến độ học tập từ bảng chi tiết 52 tuần &amp; kết quả thi thử</t>
  </si>
  <si>
    <t>1. TIẾN ĐỘ HỌC TẬP TỔNG THỂ (LEARNING PROGRESS)</t>
  </si>
  <si>
    <t>Giai đoạn</t>
  </si>
  <si>
    <t>Tổng số tuần</t>
  </si>
  <si>
    <t>Tên sách / Tài liệu</t>
  </si>
  <si>
    <t>Kỹ năng chính</t>
  </si>
  <si>
    <t>Mục đích &amp; Cách sử dụng hiệu quả</t>
  </si>
  <si>
    <t>Nguồn / Định dạng</t>
  </si>
  <si>
    <t>Mức độ ưu tiên</t>
  </si>
  <si>
    <t>Trạng thái sở hữu</t>
  </si>
  <si>
    <t>Số tuần Đã hoàn thành</t>
  </si>
  <si>
    <t>Giai đoạn 1 (Tháng 1-3)</t>
  </si>
  <si>
    <t>Số tuần Đang học</t>
  </si>
  <si>
    <t>Số tuần Chưa học</t>
  </si>
  <si>
    <t>TỶ LỆ HOÀN THÀNH (%)</t>
  </si>
  <si>
    <t>English Pronunciation in Use (Elementary / Intermediate)</t>
  </si>
  <si>
    <t>Phát âm &amp; Nhấn âm</t>
  </si>
  <si>
    <t>Học phát âm chuẩn 44 âm IPA, trọng âm từ và nối âm</t>
  </si>
  <si>
    <t>Nhà sách / PDF Audio</t>
  </si>
  <si>
    <t>Bắt buộc</t>
  </si>
  <si>
    <t>Chưa có</t>
  </si>
  <si>
    <t>English Grammar in Use (Raymond Murphy)</t>
  </si>
  <si>
    <t>Ngữ pháp cốt lõi</t>
  </si>
  <si>
    <t>LỊCH HỌC HÀNG TUẦN (1.5 - 2 TIẾNG / BUỔI TỐI) - LỘ TRÌNH GIÃN CÁCH 12 THÁNG</t>
  </si>
  <si>
    <t>Ôn 6 thì cơ bản, câu bị động, mệnh đề quan hệ, câu điều kiện</t>
  </si>
  <si>
    <t>Nhà sách / PDF</t>
  </si>
  <si>
    <t>Oxford Word Skills (Basic)</t>
  </si>
  <si>
    <t>Từ vựng đời sống</t>
  </si>
  <si>
    <t>Nạp 1.500 từ vựng theo chủ đề đời sống hàng ngày</t>
  </si>
  <si>
    <t>Spotlight English &amp; BBC 6 Minute English</t>
  </si>
  <si>
    <t>Nghe &amp; Chép chính tả</t>
  </si>
  <si>
    <t>Luyện nghe chép chính tả 15 phút mỗi ngày tăng phản xạ nhận diện âm</t>
  </si>
  <si>
    <t>Website / App / Youtube</t>
  </si>
  <si>
    <t>Thứ / Ngày</t>
  </si>
  <si>
    <t>Khuyên dùng</t>
  </si>
  <si>
    <t>Đang dùng</t>
  </si>
  <si>
    <t>Giai đoạn 2 (Tháng 4-6)</t>
  </si>
  <si>
    <t>Complete IELTS Band 4.0 - 5.0 (Cambridge)</t>
  </si>
  <si>
    <t>4 Kỹ năng cơ bản</t>
  </si>
  <si>
    <t>Làm quen cấu trúc đề thi, các dạng bài cơ bản và từ vựng học thuật</t>
  </si>
  <si>
    <t>Nhà sách Cambridge</t>
  </si>
  <si>
    <t>Get Ready for IELTS (Listening, Reading, Writing, Speaking)</t>
  </si>
  <si>
    <t>Kỹ năng chi tiết</t>
  </si>
  <si>
    <t>Phân rã từng dạng bài nhỏ và mẹo làm bài không bị bẫy</t>
  </si>
  <si>
    <t>Collins Series</t>
  </si>
  <si>
    <t>Basic IELTS Reading &amp; Listening</t>
  </si>
  <si>
    <t>Bổ trợ Nghe / Đọc</t>
  </si>
  <si>
    <t>Luyện tập bổ trợ cho Section 1, 2 và Passage 1</t>
  </si>
  <si>
    <t>Nhà sách</t>
  </si>
  <si>
    <t>Khung giờ gợi ý</t>
  </si>
  <si>
    <t>Tùy chọn</t>
  </si>
  <si>
    <t>Giai đoạn 3 (Tháng 7-9)</t>
  </si>
  <si>
    <t>Thời lượng</t>
  </si>
  <si>
    <t>Complete IELTS Band 5.0 - 6.5 &amp; 6.5 - 7.5</t>
  </si>
  <si>
    <t>4 Kỹ năng nâng cao</t>
  </si>
  <si>
    <t>Học sâu tư duy bài học thuật, phát triển ý Writing và Speaking</t>
  </si>
  <si>
    <t>Cambridge</t>
  </si>
  <si>
    <t>Nội dung &amp; Bước thực hiện cụ thể</t>
  </si>
  <si>
    <t>Collins Writing for IELTS &amp; Collins Speaking for IELTS</t>
  </si>
  <si>
    <t>Writing &amp; Speaking</t>
  </si>
  <si>
    <t>Học Collocations và cấu trúc ăn điểm C1 cho kỹ năng Output</t>
  </si>
  <si>
    <t>Phương pháp &amp; Công cụ</t>
  </si>
  <si>
    <t>Trạng thái tuần này</t>
  </si>
  <si>
    <t>Cambridge IELTS Practice Tests 11 đến 15</t>
  </si>
  <si>
    <t>Luyện đề phân đoạn</t>
  </si>
  <si>
    <t>Luyện đề theo từng Section và phân tích kỹ Keyword Table</t>
  </si>
  <si>
    <t>Giai đoạn 4 (Tháng 10-12)</t>
  </si>
  <si>
    <t>Cambridge IELTS Practice Tests 16 đến 19</t>
  </si>
  <si>
    <t>Luyện đề thực chiến</t>
  </si>
  <si>
    <t>Giải full test dưới áp lực thời gian thực tế</t>
  </si>
  <si>
    <t>IELTS Trainer 1 &amp; 2 (Cambridge)</t>
  </si>
  <si>
    <t>Luyện đề &amp; Mẹo thi</t>
  </si>
  <si>
    <t>Luyện đề thi thử có hướng dẫn giải chi tiết</t>
  </si>
  <si>
    <t>Bộ đề Forecast Speaking theo Quý thi</t>
  </si>
  <si>
    <t>Speaking thực chiến</t>
  </si>
  <si>
    <t>Luyện phản xạ toàn bộ 50+ chủ đề Part 1 &amp; Part 2 chuẩn bị thi</t>
  </si>
  <si>
    <t>IELTS Community / Online</t>
  </si>
  <si>
    <t>LỘ TRÌNH CHI TIẾT 12 THÁNG (52 TUẦN) CHINH PHỤC IELTS 7.0</t>
  </si>
  <si>
    <t>Thứ 2</t>
  </si>
  <si>
    <t>Kế hoạch tuần chi tiết 4 kỹ năng + Ngữ pháp/Từ vựng + Cột Trạng thái (Hoàn thành / Đang học / Chưa học) &amp; Ghi chú cá nhân</t>
  </si>
  <si>
    <t>19:30 - 21:15</t>
  </si>
  <si>
    <t>1h 45p</t>
  </si>
  <si>
    <t>Listening + Vocab</t>
  </si>
  <si>
    <t>Tháng</t>
  </si>
  <si>
    <t>1. Làm 1-2 Section Listening (30p)
2. Nghe lại &amp; dò Transcript gạch chân từ khóa (30p)
3. Nạp 15 từ vựng mới vào Flashcard/Anki (30p)
4. Nghe nhại lại 15p</t>
  </si>
  <si>
    <t>Cambridge Audio / Anki / Sổ từ vựng</t>
  </si>
  <si>
    <t>Chưa</t>
  </si>
  <si>
    <t>Thứ 3</t>
  </si>
  <si>
    <t>Reading + Grammar</t>
  </si>
  <si>
    <t>1. Bấm giờ làm 1 bài Reading Passage (20p)
2. Dò đáp án, lập Bảng từ đồng nghĩa Keyword Table (40p)
3. Học 1 chủ điểm ngữ pháp nâng cao (30p)</t>
  </si>
  <si>
    <t>2. TIẾN ĐỘ THEO TỪNG GIAI ĐOẠN (PHASE PROGRESS)</t>
  </si>
  <si>
    <t>Cambridge Reading / Grammar in Use</t>
  </si>
  <si>
    <t>Thứ 4</t>
  </si>
  <si>
    <t>19:30 - 21:30</t>
  </si>
  <si>
    <t>Tuần</t>
  </si>
  <si>
    <t>Thời gian</t>
  </si>
  <si>
    <t>2h 00p</t>
  </si>
  <si>
    <t>Số tuần</t>
  </si>
  <si>
    <t>Writing (Task 1 hoặc Task 2)</t>
  </si>
  <si>
    <t>Mục tiêu Band</t>
  </si>
  <si>
    <t>1. Lập dàn ý Task 1/2 (10p) &amp; Viết bài (40p)
2. Đọc bài mẫu band 8.0+, ghi chép cụm Collocations hay (40p)
3. Viết lại câu tối ưu hơn (30p)</t>
  </si>
  <si>
    <t>Số tuần hoàn thành</t>
  </si>
  <si>
    <t>Giai đoạn &amp; Mục tiêu trọng tâm</t>
  </si>
  <si>
    <t>Simon IELTS / IELTS Advantage</t>
  </si>
  <si>
    <t>Tiến độ Giai đoạn</t>
  </si>
  <si>
    <t>Thứ 5</t>
  </si>
  <si>
    <t>Speaking Part 1 &amp; 2</t>
  </si>
  <si>
    <t>GĐ 1: Xây dựng nền tảng (Foundation)</t>
  </si>
  <si>
    <t>1. Luyện nói 5 câu hỏi Part 1 (20p)
2. Chuẩn bị 1 phút &amp; nói 2 phút Part 2 theo Cue card (30p)
3. Thu âm, nghe lại và ghi chú lỗi phát âm, ngắc ngứ (30p)
4. Luyện Shadowing 15p</t>
  </si>
  <si>
    <t>Ghi âm điện thoại / Elsa Speak</t>
  </si>
  <si>
    <t>Tháng 1 - 3 (Tuần 1 - 12)</t>
  </si>
  <si>
    <t>Thứ 6</t>
  </si>
  <si>
    <t>Listening + Sửa Writing</t>
  </si>
  <si>
    <t>1. Luyện thêm 1 Section nghe khó (Sec 3 hoặc 4) (35p)
2. Lấy lại bài viết của Thứ 4 để tự sửa hoặc đọc nhận xét của giáo viên/AI (40p)
3. Viết lại bài hoàn chỉnh (30p)</t>
  </si>
  <si>
    <t>Band 4.0 - 4.5</t>
  </si>
  <si>
    <t>Cambridge Audio / ChatGPT sửa lỗi</t>
  </si>
  <si>
    <t>Listening (Nghe)</t>
  </si>
  <si>
    <t>Thứ 7</t>
  </si>
  <si>
    <t>Reading (Đọc)</t>
  </si>
  <si>
    <t>Reading + Speaking Part 3</t>
  </si>
  <si>
    <t>1. Bấm giờ làm 1 Passage Reading nâng cao (25p)
2. Phân tích chi tiết câu sai (35p)
3. Luyện 4 câu Speaking Part 3 theo mô hình P.E.E.L (40p)
4. Ghi chép từ vựng phản biện xã hội (20p)</t>
  </si>
  <si>
    <t>Forecast Speaking / Collins Speaking</t>
  </si>
  <si>
    <t>Chủ Nhật</t>
  </si>
  <si>
    <t>09:00 - 10:30 (hoặc tối)</t>
  </si>
  <si>
    <t>1h 30p</t>
  </si>
  <si>
    <t>Tổng kết tuần &amp; Giải trí</t>
  </si>
  <si>
    <t>1. Ôn tập toàn bộ 80-100 từ vựng đã nạp trong tuần qua Flashcard (45p)
2. Nghe Podcast TED Talks / Xem phim tiếng Anh có Engsub (45p)
3. Thư giãn, tái tạo năng lượng cho tuần mới</t>
  </si>
  <si>
    <t>Anki / TED Talks / Netflix</t>
  </si>
  <si>
    <t>Writing (Viết)</t>
  </si>
  <si>
    <t>Speaking (Nói)</t>
  </si>
  <si>
    <t>Từ vựng / Ngữ pháp</t>
  </si>
  <si>
    <t>Thời lượng gợi ý</t>
  </si>
  <si>
    <t>GĐ 2: Phương pháp &amp; Format IELTS</t>
  </si>
  <si>
    <t>KPI Đầu ra Tuần</t>
  </si>
  <si>
    <t>Tháng 4 - 6 (Tuần 13 - 26)</t>
  </si>
  <si>
    <t>Band 5.0 - 5.5</t>
  </si>
  <si>
    <t>Trạng thái</t>
  </si>
  <si>
    <t>Ghi chú cá nhân</t>
  </si>
  <si>
    <t>Tháng 1</t>
  </si>
  <si>
    <t>GĐ 3: Tăng tốc &amp; Nâng tầm tư duy</t>
  </si>
  <si>
    <t>Tháng 7 - 9 (Tuần 27 - 39)</t>
  </si>
  <si>
    <t>Band 6.0 - 6.5</t>
  </si>
  <si>
    <t>Tuần 1</t>
  </si>
  <si>
    <t>GĐ 1: Chuẩn hóa 20 Nguyên âm IPA &amp; 3 Thì cơ bản</t>
  </si>
  <si>
    <t>GĐ 4: Luyện đề thực chiến &amp; Về đích</t>
  </si>
  <si>
    <t>Tháng 10 - 12 (Tuần 40 - 52)</t>
  </si>
  <si>
    <t>Band 7.0+</t>
  </si>
  <si>
    <t>Nhận diện 20 nguyên âm IPA; Nghe BBC 6 Minute English (tốc độ 0.8x)</t>
  </si>
  <si>
    <t>Đọc hiểu 2 bài báo ngắn (Spotlight English / VOA); tra từ điển Oxford</t>
  </si>
  <si>
    <t>3. CHIẾN LƯỢC ĐIỂM SỐ MỤC TIÊU (OVERALL 7.0 TARGET)</t>
  </si>
  <si>
    <t>Luyện viết 10 câu đơn hoàn chỉnh; phân biệt các cấu trúc S-V-O, S-V-Adj</t>
  </si>
  <si>
    <t>Kỹ năng</t>
  </si>
  <si>
    <t>Target Band</t>
  </si>
  <si>
    <t>Số câu đúng / Yêu cầu</t>
  </si>
  <si>
    <t>Tỷ trọng đóng góp</t>
  </si>
  <si>
    <t>Chiến lược hành động</t>
  </si>
  <si>
    <t>Luyện phát âm chuẩn 20 nguyên âm đơn &amp; đôi trước gương</t>
  </si>
  <si>
    <t>Listening</t>
  </si>
  <si>
    <t>3 thì cơ bản: HTĐ, HTTD, QKĐ; 50 từ vựng chủ đề Daily Routine</t>
  </si>
  <si>
    <t>32 - 34 / 40 câu</t>
  </si>
  <si>
    <t>8 - 10h/tuần</t>
  </si>
  <si>
    <t>Gánh điểm</t>
  </si>
  <si>
    <t>Tối đa hóa điểm Sec 1 &amp; 2 (19-20/20), bứt phá Sec 3 &amp; 4</t>
  </si>
  <si>
    <t>Reading</t>
  </si>
  <si>
    <t>33 - 34 / 40 câu</t>
  </si>
  <si>
    <t>Phát âm chuẩn 20 nguyên âm; viết câu đơn không sai thì</t>
  </si>
  <si>
    <t>Làm chủ Skimming/Scanning, xử lý T/F/NG, quản lý thời gian 55 phút</t>
  </si>
  <si>
    <t>Writing</t>
  </si>
  <si>
    <t>Task 1: 6.5+, Task 2: 6.5</t>
  </si>
  <si>
    <t>Vùng an toàn</t>
  </si>
  <si>
    <t>Đang học</t>
  </si>
  <si>
    <t>Bố cục chuẩn, mạch lạc (Coherence), Collocations học thuật, sạch lỗi ngữ pháp</t>
  </si>
  <si>
    <t>Speaking</t>
  </si>
  <si>
    <t>Part 1 trôi chảy, Part 2 &amp; 3 tự nhiên</t>
  </si>
  <si>
    <t>Phản xạ nhanh, tư duy P.E.E.L cho Part 3, phát âm rõ ràng, không ngắc ngứ</t>
  </si>
  <si>
    <t>OVERALL</t>
  </si>
  <si>
    <t>(7.5 + 7.5 + 6.5 + 6.5) / 4 = 7.0</t>
  </si>
  <si>
    <t>MỤC TIÊU</t>
  </si>
  <si>
    <t>Kế hoạch 12 tháng giãn cách giúp thấm sâu từ vựng &amp; phản xạ tự nhiên</t>
  </si>
  <si>
    <t>Tuần 2</t>
  </si>
  <si>
    <t>GĐ 1: 24 Phụ âm IPA &amp; Các thì hoàn thành</t>
  </si>
  <si>
    <t>Luyện 24 phụ âm IPA (chú ý cặp âm /s/ - /ʃ/, /θ/ - /ð/); nghe chép 2 đoạn ngắn</t>
  </si>
  <si>
    <t>Đọc 2 bài VOA Learning English Level 1; gạch chân danh từ &amp; động từ chính</t>
  </si>
  <si>
    <t>Luyện viết câu sử dụng liên từ kết hợp (and, but, so, because)</t>
  </si>
  <si>
    <t>Luyện phát âm 24 phụ âm; tập nói 5 câu giới thiệu bản thân chuẩn ngữ điệu</t>
  </si>
  <si>
    <t>Thì HTHT, QKTD, TLĐ; 50 từ vựng chủ đề Family &amp; Relationships</t>
  </si>
  <si>
    <t>Nắm trọn 44 âm IPA; phát âm có ending sounds rõ ràng</t>
  </si>
  <si>
    <t>Chưa học</t>
  </si>
  <si>
    <t>Tuần 3</t>
  </si>
  <si>
    <t>GĐ 1: Trọng âm từ, Ngữ điệu &amp; Câu ghép</t>
  </si>
  <si>
    <t>Nghe chép chính tả 3 bài VOA ngắn; chú ý cách ngắt cụm (chunking)</t>
  </si>
  <si>
    <t>Đọc bài 250 từ; tập tóm tắt ý chính của từng đoạn văn ngắn</t>
  </si>
  <si>
    <t>Cấu trúc câu ghép (Compound Sentences) với FANBOYS; tránh lỗi phẩy nối câu</t>
  </si>
  <si>
    <t>Quy tắc trọng âm từ 2 &amp; 3 âm tiết; luyện nói giới thiệu sở thích (Hobbies)</t>
  </si>
  <si>
    <t>Từ loại (Word Formation: N, V, Adj, Adv); 50 từ chủ đề Work &amp; Study</t>
  </si>
  <si>
    <t>Viết được câu ghép chuẩn ngữ pháp; nói đúng trọng âm từ</t>
  </si>
  <si>
    <t>Tuần 4</t>
  </si>
  <si>
    <t>GĐ 1: Câu phức &amp; Tổng kết Tháng 1</t>
  </si>
  <si>
    <t>Nghe 3 bài podcast VOA; tập ghi chú từ khóa chính (Keyword note-taking)</t>
  </si>
  <si>
    <t>Đọc 3 bài báo ngắn; phân tích mệnh đề chính và mệnh đề phụ thuộc</t>
  </si>
  <si>
    <t>BẢNG THEO DÕI KẾT QUẢ THI THỬ &amp; TIẾN ĐỘ 12 THÁNG (MOCK TEST TRACKER)</t>
  </si>
  <si>
    <t>Cấu trúc câu phức (Complex Sentences) với Although, Since, While, If</t>
  </si>
  <si>
    <t>Luyện trả lời 5 câu hỏi giao tiếp thông thường trôi chảy, tự nhiên</t>
  </si>
  <si>
    <t>Nhập điểm từng kỹ năng để tự động tính điểm IELTS Overall theo công thức chuẩn làm tròn 0.5</t>
  </si>
  <si>
    <t>Tổng ôn 200 từ vựng Tháng 1 qua Flashcard/Anki; ôn tập 6 thì cơ bản</t>
  </si>
  <si>
    <t>Lần Test</t>
  </si>
  <si>
    <t>Thời điểm</t>
  </si>
  <si>
    <t>Nguồn đề thi</t>
  </si>
  <si>
    <t>Làm Mini-test Ngữ pháp &amp; Từ vựng đạt &gt;= 80% điểm</t>
  </si>
  <si>
    <t>Đánh giá &amp; Kế hoạch khắc phục</t>
  </si>
  <si>
    <t>Test 1 (Đầu vào)</t>
  </si>
  <si>
    <t>Tháng 2</t>
  </si>
  <si>
    <t>Tuần 5</t>
  </si>
  <si>
    <t>Đầu Tháng 1</t>
  </si>
  <si>
    <t>GĐ 1: Mệnh đề quan hệ &amp; Nghe chép chính tả nâng cao</t>
  </si>
  <si>
    <t>Diagnostic Test</t>
  </si>
  <si>
    <t>Nghe chép chính tả 3 bài BBC 6 Minute English (mục tiêu đúng &gt;= 80% từ)</t>
  </si>
  <si>
    <t>Đọc 2 bài báo The Guardian/BBC trung cấp; ghi chép cụm Collocations</t>
  </si>
  <si>
    <t>Mệnh đề quan hệ xác định (Defining) &amp; không xác định (Non-defining)</t>
  </si>
  <si>
    <t>Tập nói đoạn văn 1 phút về một ngày làm việc/học tập (ghi âm và nghe lại)</t>
  </si>
  <si>
    <t>Mệnh đề quan hệ (who, which, that, where); 60 từ chủ đề Education</t>
  </si>
  <si>
    <t>Ứng dụng mượt mà who/which/that vào câu viết và câu nói</t>
  </si>
  <si>
    <t>Tuần 6</t>
  </si>
  <si>
    <t>GĐ 1: Thể bị động &amp; Nhại giọng (Shadowing)</t>
  </si>
  <si>
    <t>Luyện nghe số, ngày tháng, đánh vần tên riêng (chuẩn bị cho IELTS Sec 1)</t>
  </si>
  <si>
    <t>Đọc có bấm giờ: Đọc bài 350 từ trong 3 phút và trả lời 3 câu hỏi ý chính</t>
  </si>
  <si>
    <t>Thể bị động (Passive Voice) các thì cơ bản; ứng dụng trong văn miêu tả</t>
  </si>
  <si>
    <t>Phương pháp Shadowing (Nhại giọng) theo video BBC 15 phút mỗi ngày</t>
  </si>
  <si>
    <t>Câu điều kiện loại 1 &amp; loại 2; 60 từ vựng chủ đề Technology &amp; Media</t>
  </si>
  <si>
    <t>Nghe đúng 10/10 câu đánh vần tên &amp; số điện thoại</t>
  </si>
  <si>
    <t>Band 4.0</t>
  </si>
  <si>
    <t>Xác định điểm xuất phát, xây lại toàn bộ ngữ pháp &amp; phát âm</t>
  </si>
  <si>
    <t>Test 2 (Cuối GĐ 1)</t>
  </si>
  <si>
    <t>Cuối Tháng 3 (W12)</t>
  </si>
  <si>
    <t>Foundation Test</t>
  </si>
  <si>
    <t>Tuần 7</t>
  </si>
  <si>
    <t>GĐ 1: Mệnh đề phân từ rút gọn &amp; Collocations</t>
  </si>
  <si>
    <t>Band 4.5</t>
  </si>
  <si>
    <t>Nghe chép đoạn hội thoại 2 người về đặt phòng khách sạn / mua hàng</t>
  </si>
  <si>
    <t>Ngữ pháp vững, phát âm chuẩn, sẵn sàng vào format IELTS</t>
  </si>
  <si>
    <t>Test 3 (Giữa GĐ 2)</t>
  </si>
  <si>
    <t>Cuối Tháng 5 (W20)</t>
  </si>
  <si>
    <t>Đọc bài báo khoa học đơn giản; phân tích cách liên kết giữa các đoạn</t>
  </si>
  <si>
    <t>Cam 11 Test 1</t>
  </si>
  <si>
    <t>Mệnh đề phân từ rút gọn (V-ing / V-ed); tránh lỗi sai chủ ngữ</t>
  </si>
  <si>
    <t>Luyện trả lời trôi chảy 5 chủ đề quen thuộc (Food, Travel, Weather, Hometown)</t>
  </si>
  <si>
    <t>Listening Sec 1 tốt, Reading bắt đầu quen dạng T/F/NG</t>
  </si>
  <si>
    <t>Collocations cơ bản (Make/Do/Take/Have); 60 từ chủ đề Environment</t>
  </si>
  <si>
    <t>Test 4 (Cuối GĐ 2)</t>
  </si>
  <si>
    <t>Cuối Tháng 6 (W26)</t>
  </si>
  <si>
    <t>Cam 12 Test 2</t>
  </si>
  <si>
    <t>Band 5.5 - 6.0</t>
  </si>
  <si>
    <t>Viết được câu có sử dụng mệnh đề phân từ rút gọn V-ing</t>
  </si>
  <si>
    <t>Đạt mốc giữa kỳ! Hoàn thiện cả Task 1 &amp; Task 2 đúng giờ</t>
  </si>
  <si>
    <t>Test 5 (Giữa GĐ 3)</t>
  </si>
  <si>
    <t>Cuối Tháng 8 (W34)</t>
  </si>
  <si>
    <t>Cam 14 Test 2</t>
  </si>
  <si>
    <t>Reading bứt phá, Speaking Part 2 trôi chảy</t>
  </si>
  <si>
    <t>Test 6 (Cuối GĐ 3)</t>
  </si>
  <si>
    <t>Cuối Tháng 9 (W39)</t>
  </si>
  <si>
    <t>Cam 16 Test 2</t>
  </si>
  <si>
    <t>Tuần 8</t>
  </si>
  <si>
    <t>Band 6.5 - 7.0</t>
  </si>
  <si>
    <t>GĐ 1: Đọc hiểu chuyên sâu &amp; Đoạn văn mô tả</t>
  </si>
  <si>
    <t>Đạt chính thức 6.5 Overall, chuẩn bị luyện đề thực chiến</t>
  </si>
  <si>
    <t>Test 7 (GĐ 4 - W44)</t>
  </si>
  <si>
    <t>Giữa Tháng 11</t>
  </si>
  <si>
    <t>Cam 18 Test 2</t>
  </si>
  <si>
    <t>Nghe podcast Spotlight English tốc độ tự nhiên; tập tóm tắt lại nội dung</t>
  </si>
  <si>
    <t>Đọc bài đọc 400 từ; luyện kỹ năng đoán nghĩa từ mới dựa vào văn cảnh</t>
  </si>
  <si>
    <t>Listening &amp; Reading ổn định 7.5 - 8.0</t>
  </si>
  <si>
    <t>Viết đoạn văn 120 từ mô tả một địa điểm yêu thích có dùng câu phức &amp; bị động</t>
  </si>
  <si>
    <t>Test 8 (Tổng duyệt W50)</t>
  </si>
  <si>
    <t>Đầu Tháng 12</t>
  </si>
  <si>
    <t>Cam 19 Test 2</t>
  </si>
  <si>
    <t>Luyện nói 2 phút về chủ đề 'A memorable trip' (ghi âm tự sửa lỗi)</t>
  </si>
  <si>
    <t>Band 7.0 - 7.5</t>
  </si>
  <si>
    <t>Sẵn sàng 100% phong độ bước vào phòng thi thật!</t>
  </si>
  <si>
    <t>Cụm động từ (Phrasal Verbs) thông dụng trong giao tiếp hàng ngày; 50 từ</t>
  </si>
  <si>
    <t>Viết đoạn văn mạch lạc 120 từ không mắc lỗi ngữ pháp cơ bản</t>
  </si>
  <si>
    <t>Tháng 3</t>
  </si>
  <si>
    <t>Tuần 9</t>
  </si>
  <si>
    <t>GĐ 1: Câu gián tiếp &amp; Câu giả định</t>
  </si>
  <si>
    <t>Luyện nghe nhận diện âm đuôi /s/, /z/, /ed/ trong các đoạn hội thoại nhanh</t>
  </si>
  <si>
    <t>Đọc bài báo phân tích xã hội ngắn; xác định luận điểm và luận cứ của tác giả</t>
  </si>
  <si>
    <t>Câu gián tiếp (Reported Speech) &amp; Cấu trúc câu giả định (Wish, If only)</t>
  </si>
  <si>
    <t>Luyện nói phản xạ: Hỏi và đáp nhanh 10 câu hỏi đời sống không chuẩn bị trước</t>
  </si>
  <si>
    <t>Tổng hợp 100 tính từ mô tả cảm xúc, tính cách, cảnh quan</t>
  </si>
  <si>
    <t>Nắm vững quy tắc lùi thì trong câu tường thuật gián tiếp</t>
  </si>
  <si>
    <t>Tuần 10</t>
  </si>
  <si>
    <t>GĐ 1: Kỹ năng tóm tắt &amp; Mở rộng trường từ vựng</t>
  </si>
  <si>
    <t>Nghe bài giảng ngắn 3 phút trên TED-Ed; ghi lại 5 luận điểm chính</t>
  </si>
  <si>
    <t>Đọc 2 bài viết phân tích xu hướng; tập tóm tắt mỗi bài trong 3 câu</t>
  </si>
  <si>
    <t>Viết bài tóm tắt nội dung 150 từ kết hợp đa dạng câu đơn, ghép, phức</t>
  </si>
  <si>
    <t>Luyện nói theo cặp hoặc trước gương: Bàn về thói quen đọc sách &amp; xem phim</t>
  </si>
  <si>
    <t>60 từ vựng học thuật cơ bản (Analyze, indicate, significant, factor...)</t>
  </si>
  <si>
    <t>Tóm tắt bài đọc chính xác, không sao chép nguyên văn</t>
  </si>
  <si>
    <t>Tuần 11</t>
  </si>
  <si>
    <t>GĐ 1: Tổng ôn toàn bộ Ngữ pháp &amp; Từ vựng Nền tảng</t>
  </si>
  <si>
    <t>Luyện nghe tổng hợp các giọng đọc khác nhau (Anh - Anh, Anh - Mỹ, Anh - Úc)</t>
  </si>
  <si>
    <t>Đọc hiểu 3 bài báo; kiểm tra độ hiểu đạt trên 85% không tra từ điển</t>
  </si>
  <si>
    <t>Rà soát toàn bộ các cấu trúc câu đã học: Đảo ngữ cơ bản, so sánh, câu điều kiện</t>
  </si>
  <si>
    <t>Luyện nói liên tục 2 phút tự tin, chuẩn ngữ điệu và phát âm</t>
  </si>
  <si>
    <t>Ôn tập toàn bộ 600 từ vựng cốt lõi của Giai đoạn 1 qua Anki</t>
  </si>
  <si>
    <t>Sẵn sàng 100% kiến thức nền tảng để bước vào format IELTS</t>
  </si>
  <si>
    <t>Tuần 12</t>
  </si>
  <si>
    <t>GĐ 1: TEST ĐÁNH GIÁ NỀN TẢNG (TARGET BAND 4.0 - 4.5)</t>
  </si>
  <si>
    <t>Làm thử Section 1 đề Cambridge 10 Test 1 có bấm giờ (Mục tiêu &gt;= 7/10 câu)</t>
  </si>
  <si>
    <t>Làm bài đọc hiểu 13 câu hỏi ngắn (Mục tiêu &gt;= 8/13 câu đúng)</t>
  </si>
  <si>
    <t>Viết đoạn văn 150 từ nêu quan điểm về việc học tiếng Anh</t>
  </si>
  <si>
    <t>Ghi âm bài nói 3 phút giới thiệu bản thân, quê hương và công việc/học tập</t>
  </si>
  <si>
    <t>Lập bảng phân tích lỗ hổng kiến thức sau bài kiểm tra</t>
  </si>
  <si>
    <t>10h/tuần</t>
  </si>
  <si>
    <t>CHÍNH THỨC HOÀN THÀNH GIAI ĐOẠN 1 - ĐẠT BAND 4.0 - 4.5</t>
  </si>
  <si>
    <t>Tháng 4</t>
  </si>
  <si>
    <t>Tuần 13</t>
  </si>
  <si>
    <t>GĐ 2: Listening Sec 1 &amp; Kỹ thuật Skimming/Scanning</t>
  </si>
  <si>
    <t>Làm quen Listening Section 1 (Form Completion, Note Taking) - 3 bài Cam 11</t>
  </si>
  <si>
    <t>Học kỹ thuật Skimming (đọc lướt lấy ý chính) &amp; Scanning (quét tìm từ khóa cụ thể)</t>
  </si>
  <si>
    <t>Tổng quan Writing Task 1: Tiêu chuẩn chấm điểm; Viết Introduction (Paraphrase đề)</t>
  </si>
  <si>
    <t>Speaking Part 1: Cấu trúc trả lời chuẩn 2-3 câu (Direct Answer + Reason/Detail)</t>
  </si>
  <si>
    <t>Từ đồng nghĩa (Synonyms) hay gặp trong Cam Listening Sec 1; 50 từ Academic</t>
  </si>
  <si>
    <t>9 - 11h/tuần</t>
  </si>
  <si>
    <t>Listening Sec 1 đúng &gt;= 7/10 câu; Viết Intro Task 1 trong 2 phút</t>
  </si>
  <si>
    <t>Tuần 14</t>
  </si>
  <si>
    <t>GĐ 2: Reading Completion &amp; Writing Overview</t>
  </si>
  <si>
    <t>Listening Sec 1: Dạng bài Table / Flow-chart Completion (Cam 11-12)</t>
  </si>
  <si>
    <t>Reading: Dạng Sentence Completion &amp; Summary Completion (có/không có từ sẵn)</t>
  </si>
  <si>
    <t>Writing Task 1: Cách viết phần Overview (tìm 2 đặc điểm nổi bật nhất)</t>
  </si>
  <si>
    <t>Speaking Part 1: Luyện 3 chủ đề (Hometown, Accommodation, Work/Study)</t>
  </si>
  <si>
    <t>Từ vựng chỉ xu hướng tăng/giảm (Increase, plunge, fluctuate, peak, stabilize)</t>
  </si>
  <si>
    <t>Viết Overview Task 1 chuẩn xác, không đưa số liệu cụ thể</t>
  </si>
  <si>
    <t>Tuần 15</t>
  </si>
  <si>
    <t>GĐ 2: Writing Line Graph &amp; Reading Multiple Choice</t>
  </si>
  <si>
    <t>Listening Sec 1: Nhận diện bẫy sửa thông tin (Distractors: but, actually, sorry)</t>
  </si>
  <si>
    <t>Reading: Dạng Multiple Choice 1 đáp án (phương pháp loại trừ phương án nhiễu)</t>
  </si>
  <si>
    <t>Writing Task 1: Hoàn chỉnh bài Line Graph (Intro + Overview + 2 Body paragraphs)</t>
  </si>
  <si>
    <t>Speaking Part 1: Luyện 3 chủ đề (Music, Sports, Daily Routine); tránh trả lời cộc lốc</t>
  </si>
  <si>
    <t>Cụm từ chỉ thời gian &amp; số liệu (accounted for, from... to..., reached a peak of)</t>
  </si>
  <si>
    <t>Hoàn thành 1 bài Line Graph hoàn chỉnh dưới 25 phút</t>
  </si>
  <si>
    <t>Tuần 16</t>
  </si>
  <si>
    <t>GĐ 2: Bar Chart &amp; Phân tích Keyword Table</t>
  </si>
  <si>
    <t>Giải trọn vẹn Section 1 của 3 đề Cam 12; lập Sổ tay từ đồng nghĩa</t>
  </si>
  <si>
    <t>Reading: Dạng Short-answer Questions &amp; Diagram Labeling</t>
  </si>
  <si>
    <t>Writing Task 1: Dạng Bar Chart (biểu đồ cột có thay đổi theo thời gian)</t>
  </si>
  <si>
    <t>Speaking Part 1: Luyện 3 chủ đề (Colors, Weather, Shopping); dùng liên từ tự nhiên</t>
  </si>
  <si>
    <t>Cấu trúc so sánh hơn/nhất/gấp đôi (Twice as high as, overtook, dominant)</t>
  </si>
  <si>
    <t>Nghe Sec 1 ổn định 9-10/10; Viết hoàn chỉnh 1 bài Bar Chart</t>
  </si>
  <si>
    <t>Tháng 5</t>
  </si>
  <si>
    <t>Tuần 17</t>
  </si>
  <si>
    <t>GĐ 2: Listening Sec 2 (Map) &amp; Reading T/F/NG</t>
  </si>
  <si>
    <t>Listening Section 2: Dạng Map/Plan Labelling (bản đồ, sơ đồ vị trí)</t>
  </si>
  <si>
    <t>Reading: Dạng True / False / Not Given (phân biệt ranh giới giữa False và Not Given)</t>
  </si>
  <si>
    <t>Tổng quan Writing Task 2: Cấu trúc chuẩn 4 đoạn (Intro, Body 1, Body 2, Conclusion)</t>
  </si>
  <si>
    <t>Speaking Part 2: Phương pháp tận dụng 1 phút chuẩn bị dàn ý theo Cue Card</t>
  </si>
  <si>
    <t>Từ vựng chỉ phương hướng: Opposite, adjacent to, roundabout, corridor</t>
  </si>
  <si>
    <t>Làm đúng &gt;= 70% dạng Map; nắm chắc logic True/False/Not Given</t>
  </si>
  <si>
    <t>Tuần 18</t>
  </si>
  <si>
    <t>GĐ 2: Listening Sec 2 MCQ &amp; Task 2 Opinion</t>
  </si>
  <si>
    <t>Listening Section 2: Dạng Multiple Choice &amp; Matching Information</t>
  </si>
  <si>
    <t>Reading: Dạng Yes / No / Not Given (nhận diện quan điểm của tác giả)</t>
  </si>
  <si>
    <t>Writing Task 2: Dạng bài Opinion (Agree or Disagree) - lập luận 1 chiều</t>
  </si>
  <si>
    <t>Speaking Part 2: Luyện chủ đề 'Describe a person' (thầy cô, bạn bè, người thân)</t>
  </si>
  <si>
    <t>Từ vựng nêu quan điểm: In my perspective, It is argued that, undeniable</t>
  </si>
  <si>
    <t>Lập dàn ý Task 2 trong 5 phút; Nói Part 2 đủ 1.5 - 2 phút</t>
  </si>
  <si>
    <t>Tuần 19</t>
  </si>
  <si>
    <t>GĐ 2: Pie Chart &amp; Task 2 Discuss Both Views</t>
  </si>
  <si>
    <t>Ghép làm trọn vẹn Section 1 &amp; 2 của 2 đề Cam 13 (phân tích Transcript kỹ càng)</t>
  </si>
  <si>
    <t>Reading: Dạng Matching Headings (đọc câu chủ đề và bắt từ khóa cốt lõi)</t>
  </si>
  <si>
    <t>Writing Task 1: Pie Chart (Biểu đồ tròn) + Task 2: Dạng Discuss Both Views</t>
  </si>
  <si>
    <t>Speaking Part 2: Luyện chủ đề 'Describe a place' (thành phố, địa điểm du lịch)</t>
  </si>
  <si>
    <t>Từ vựng tỷ lệ phần trăm (a majority of, a mere 10%, a quarter, three-fifths)</t>
  </si>
  <si>
    <t>Nắm vững bố cục cân bằng 2 vế của bài Discuss Both Views</t>
  </si>
  <si>
    <t>Tuần 20</t>
  </si>
  <si>
    <t>GĐ 2: Ghép Sec 1+2 &amp; Hoàn thiện bài luận</t>
  </si>
  <si>
    <t>Làm liên tục Section 1+2 (20 câu, mục tiêu đúng &gt;= 16/20)</t>
  </si>
  <si>
    <t>Reading Passage 1 hoàn chỉnh dưới 18 phút (13 câu)</t>
  </si>
  <si>
    <t>Viết hoàn chỉnh 1 bài Task 2 Opinion (250 từ) trong 40 phút</t>
  </si>
  <si>
    <t>Speaking Part 2: Luyện chủ đề 'Describe an object / event' (món quà, lễ hội)</t>
  </si>
  <si>
    <t>60 từ vựng chủ đề Tourism &amp; Culture</t>
  </si>
  <si>
    <t>Hoàn thành bài viết Task 2 đủ số chữ và đúng cấu trúc tiêu chuẩn</t>
  </si>
  <si>
    <t>Tháng 6</t>
  </si>
  <si>
    <t>Tuần 21</t>
  </si>
  <si>
    <t>GĐ 2: Task 1 Table &amp; Quy trình Process</t>
  </si>
  <si>
    <t>Listening Sec 2: Luyện sâu các bài Map khó trong Cam 13-14</t>
  </si>
  <si>
    <t>Reading: Dạng Matching Information to Paragraphs &amp; Matching Features</t>
  </si>
  <si>
    <t>Writing Task 1: Dạng Bảng số liệu (Table) &amp; Quy trình tự nhiên/nhân tạo (Process)</t>
  </si>
  <si>
    <t>Speaking: Ghép nối phản xạ giữa câu hỏi Part 1 và bài nói Part 2</t>
  </si>
  <si>
    <t>Từ vựng chỉ trình tự quy trình (Initially, in the subsequent stage, culminates in)</t>
  </si>
  <si>
    <t>10 - 12h/tuần</t>
  </si>
  <si>
    <t>Viết hoàn chỉnh bài Process miêu tả chu trình sản xuất/tự nhiên</t>
  </si>
  <si>
    <t>Tuần 22</t>
  </si>
  <si>
    <t>GĐ 2: Task 1 Map &amp; Task 2 Problem/Solution</t>
  </si>
  <si>
    <t>Listening Sec 1+2: Tổng hợp các bẫy phát âm nuốt âm, nối âm (Connected speech)</t>
  </si>
  <si>
    <t>Reading: Luyện đọc Passage 2 chủ đề Khoa học / Lịch sử không dùng từ điển</t>
  </si>
  <si>
    <t>Writing Task 1: Dạng Map (so sánh 2 mốc thời gian) + Task 2: Causes &amp; Solutions</t>
  </si>
  <si>
    <t>Speaking Part 2: Kỹ thuật mở rộng câu chuyện (Past - Present - Feelings)</t>
  </si>
  <si>
    <t>Từ vựng cải tạo cảnh quan: Demolished, transformed into, expanded</t>
  </si>
  <si>
    <t>Viết thành thạo dạng Map so sánh đô thị/quy hoạch</t>
  </si>
  <si>
    <t>Tuần 23</t>
  </si>
  <si>
    <t>GĐ 2: Task 2 Advantage &amp; Disadvantage</t>
  </si>
  <si>
    <t>Làm Listening Section 1 &amp; 2 của 2 đề Cam 14; phân tích lỗi sai chi tiết</t>
  </si>
  <si>
    <t>Reading: Luyện tập tổng hợp các dạng Completion + Matching trong Passage 2</t>
  </si>
  <si>
    <t>Writing Task 2: Dạng Advantage &amp; Disadvantage (dạng cân bằng)</t>
  </si>
  <si>
    <t>Speaking Part 2: Luyện chủ đề 'Describe an activity' (thể thao, sở thích mới)</t>
  </si>
  <si>
    <t>60 từ vựng chủ đề Health, Fitness &amp; Lifestyle</t>
  </si>
  <si>
    <t>Viết bài Advantage/Disadvantage mạch lạc trong 40 phút</t>
  </si>
  <si>
    <t>Tuần 24</t>
  </si>
  <si>
    <t>GĐ 2: Ghép nối 4 Kỹ năng &amp; Tối ưu tốc độ</t>
  </si>
  <si>
    <t>Listening: Giải trọn vẹn Section 1 + Section 2 dưới áp lực thời gian</t>
  </si>
  <si>
    <t>Reading: Làm trọn vẹn Passage 1 &amp; 2 trong 40 phút (26 câu hỏi)</t>
  </si>
  <si>
    <t>Writing: Luyện viết 1 bài Task 1 hoàn chỉnh trong đúng 20 phút</t>
  </si>
  <si>
    <t>Speaking: Luyện 5 chủ đề Part 1 + 2 chủ đề Part 2 liên tục</t>
  </si>
  <si>
    <t>Ôn tập 300 từ vựng và cụm Collocations của Giai đoạn 2</t>
  </si>
  <si>
    <t>Kiểm soát tốt thời gian từng kỹ năng không bị quá giờ</t>
  </si>
  <si>
    <t>Tuần 25</t>
  </si>
  <si>
    <t>GĐ 2: Ôn tập Tổng lực &amp; Rà soát Lỗi sai</t>
  </si>
  <si>
    <t>Làm trọn vẹn đề Listening Cam 12 Test 1 (30p nghe + 10p điền đáp án)</t>
  </si>
  <si>
    <t>Làm trọn vẹn đề Reading Cam 12 Test 1 (bấm đúng 60 phút)</t>
  </si>
  <si>
    <t>Tự sửa lại 3 bài Writing đã viết trong tháng; sửa sạch lỗi ngữ pháp</t>
  </si>
  <si>
    <t>Luyện nói 10 chủ đề thông dụng nhất của Part 1 &amp; Part 2</t>
  </si>
  <si>
    <t>Tổng kết Sổ tay lỗi sai (Mistake Log) của Giai đoạn 2</t>
  </si>
  <si>
    <t>Nhận diện rõ điểm nghẽn về tốc độ và dạng bài còn yếu</t>
  </si>
  <si>
    <t>Tuần 26</t>
  </si>
  <si>
    <t>GĐ 2: MOCK TEST GIỮA KỲ (MỤC TIÊU 5.5 OVERALL)</t>
  </si>
  <si>
    <t>THI THỬ FULL TEST 4 KỸ NĂNG (Đề Cambridge 12 Test 2)</t>
  </si>
  <si>
    <t>Listening Target: 23-25/40 (Band 6.0) | Reading Target: 23-25/40 (Band 6.0)</t>
  </si>
  <si>
    <t>Writing Target: Hoàn thành cả Task 1 (20p) + Task 2 (40p) đúng form (Band 5.0 - 5.5)</t>
  </si>
  <si>
    <t>Speaking Target: Ghi âm trả lời Full Part 1 + Part 2 (Band 5.0 - 5.5)</t>
  </si>
  <si>
    <t>Lập bảng phân tích chi tiết kết quả Mock Test giữa kỳ</t>
  </si>
  <si>
    <t>12h/tuần</t>
  </si>
  <si>
    <t>CÁN MỐC CHÍNH THỨC BAND 5.5 OVERALL - BƯỚC VÀO GIAI ĐOẠN TĂNG TỐC</t>
  </si>
  <si>
    <t>Tháng 7</t>
  </si>
  <si>
    <t>Tuần 27</t>
  </si>
  <si>
    <t>GĐ 3: Listening Sec 3 (Academic) &amp; Speaking Part 3 Intro</t>
  </si>
  <si>
    <t>Listening Section 3: Thảo luận học thuật 2-3 người (bắt nhịp đồng thuận/phản bác)</t>
  </si>
  <si>
    <t>Reading: Chiến lược làm Passage 2 dưới 20 phút (Matching Headings + T/F/NG)</t>
  </si>
  <si>
    <t>Writing Task 2: Tiêu chí Coherence &amp; Cohesion (dùng liên từ học thuật tự nhiên)</t>
  </si>
  <si>
    <t>Speaking Part 3: Khung tư duy phản biện P.E.E (Point - Explanation - Example)</t>
  </si>
  <si>
    <t>60 từ vựng chủ đề Higher Education (tertiary education, curriculum, tuition)</t>
  </si>
  <si>
    <t>Listening Sec 3 đúng &gt;= 6/10; Nắm chắc logic tranh luận học thuật</t>
  </si>
  <si>
    <t>Tuần 28</t>
  </si>
  <si>
    <t>GĐ 3: Reading Matching Features &amp; Task 2 Outweigh</t>
  </si>
  <si>
    <t>Listening Sec 3: Dạng Matching Opinions &amp; Multiple Choice 2 đáp án</t>
  </si>
  <si>
    <t>Reading: Dạng Matching Features (nối nhà khoa học với phát biểu/nghiên cứu)</t>
  </si>
  <si>
    <t>Writing Task 2: Dạng Advantage &amp; Disadvantage (dạng Outweigh so sánh mức độ)</t>
  </si>
  <si>
    <t>Speaking Part 3: Cách trả lời câu hỏi so sánh (Quá khứ vs Hiện tại; Trẻ vs Già)</t>
  </si>
  <si>
    <t>Collocations học thuật chủ đề Technology, AI &amp; Automation</t>
  </si>
  <si>
    <t>Viết bài Outweigh với lập luận so sánh rõ ràng, chặt chẽ</t>
  </si>
  <si>
    <t>Tuần 29</t>
  </si>
  <si>
    <t>GĐ 3: Nâng cấp Lexical Resource cho Writing Task 2</t>
  </si>
  <si>
    <t>Ghép trọn vẹn Section 1, 2, 3 trong Cam 13 (Mục tiêu 25/30 câu)</t>
  </si>
  <si>
    <t>Reading: Luyện chiến thuật làm câu hỏi chi tiết trước câu hỏi tổng quát</t>
  </si>
  <si>
    <t>Writing Task 2: Nâng cấp từ vựng đơn sang Academic Collocations (tránh dịch thô)</t>
  </si>
  <si>
    <t>Speaking Part 3: Cách dùng từ đệm (Fillers) &amp; Paraphrase câu hỏi tự nhiên</t>
  </si>
  <si>
    <t>Cụm từ C1: Exacerbate, play a pivotal role, inevitable, profound impact</t>
  </si>
  <si>
    <t>Thay thế ít nhất 5 cụm từ đơn giản bằng Academic Collocations</t>
  </si>
  <si>
    <t>Tuần 30</t>
  </si>
  <si>
    <t>GĐ 3: Luyện đề Sec 1-3 &amp; Chấm chữa Writing</t>
  </si>
  <si>
    <t>Luyện 3 bài Listening Sec 3 từ Cam 14; giải mã các bẫy Paraphrase trong audio</t>
  </si>
  <si>
    <t>Reading: Làm Passage 1 + Passage 2 trong 38 phút (26 câu)</t>
  </si>
  <si>
    <t>Viết 2 bài Task 2 (chủ đề Environment &amp; Society); gửi người có chuyên môn chấm</t>
  </si>
  <si>
    <t>Speaking Part 3: Thảo luận các chủ đề về Sustainable Development</t>
  </si>
  <si>
    <t>60 từ vựng chuyên sâu chủ đề Môi trường (Carbon footprint, depletion, renewable)</t>
  </si>
  <si>
    <t>Listening Sec 1-3 đạt 24-26/30; Sửa triệt để các lỗi sai Writing</t>
  </si>
  <si>
    <t>Tháng 8</t>
  </si>
  <si>
    <t>Tuần 31</t>
  </si>
  <si>
    <t>GĐ 3: Listening Sec 4 (Academic Lecture)</t>
  </si>
  <si>
    <t>Listening Section 4: Nghe độc thoại bài giảng không ngắt (bắt Signposting language)</t>
  </si>
  <si>
    <t>Reading Passage 3: Xử lý bài đọc triết học/tâm lý học dài và nhiều thuật ngữ</t>
  </si>
  <si>
    <t>Writing Task 1: Luyện tốc độ viết biểu đồ hỗn hợp (Multiple graphs) dưới 18 phút</t>
  </si>
  <si>
    <t>Speaking Part 3: Mô hình trả lời đầy đủ P.E.E.L (thêm Link - Hệ quả/Tương lai)</t>
  </si>
  <si>
    <t>Signposting words trong bài giảng: Turning now to, having looked at, consequently</t>
  </si>
  <si>
    <t>Listening Sec 4 đạt &gt;= 7/10; Viết Task 1 hỗn hợp dưới 20 phút</t>
  </si>
  <si>
    <t>Tuần 32</t>
  </si>
  <si>
    <t>GĐ 3: Reading Passage 3 &amp; Task 2 Two-Part Question</t>
  </si>
  <si>
    <t>Listening Sec 4: Dạng Summary Completion &amp; Note Taking học thuật cao</t>
  </si>
  <si>
    <t>Reading Passage 3: Kỹ thuật đoán nghĩa từ vựng trong văn cảnh (Context Clues)</t>
  </si>
  <si>
    <t>Writing Task 2: Dạng Two-Part Question (trả lời trực tiếp 2 câu hỏi của đề)</t>
  </si>
  <si>
    <t>Speaking Part 3: Thảo luận các vấn đề vĩ mô (Government spending, globalization)</t>
  </si>
  <si>
    <t>Từ vựng quản lý xã hội: Policy, implementation, subsidize, infrastructure</t>
  </si>
  <si>
    <t>Giải quyết trọn vẹn Passage 3 không bị hoảng bởi từ lạ</t>
  </si>
  <si>
    <t>Tuần 33</t>
  </si>
  <si>
    <t>GĐ 3: Tối ưu hóa thời gian Reading 3 Passages</t>
  </si>
  <si>
    <t>Luyện trọn vẹn 1 đề Listening Full 40 câu Cam 14 (Mục tiêu 28-30/40 - Band 7.0)</t>
  </si>
  <si>
    <t>Luyện trọn vẹn 1 đề Reading Full 40 câu Cam 14 trong 55 phút (để 5 phút soát bài)</t>
  </si>
  <si>
    <t>Writing: Luyện viết liên tục cả Task 1 &amp; Task 2 trong 58 phút</t>
  </si>
  <si>
    <t>Speaking: Ghép trọn vẹn Part 1 + 2 + 3 theo chủ đề Media &amp; Entertainment</t>
  </si>
  <si>
    <t>Sổ tay Paraphrase: Tổng hợp 100 cặp từ đồng nghĩa kinh điển trong Cam 14</t>
  </si>
  <si>
    <t>Reading làm kịp cả 3 bài trong 55 phút; Listening chạm mốc 7.0</t>
  </si>
  <si>
    <t>Tuần 34</t>
  </si>
  <si>
    <t>GĐ 3: Tinh chỉnh Ngữ pháp C1 &amp; Đảo ngữ</t>
  </si>
  <si>
    <t>Làm đề Listening Cam 15 Test 1; phân tích lỗi sai nghe sót hay sai chính tả</t>
  </si>
  <si>
    <t>Làm đề Reading Cam 15 Test 1; đối chiếu Keyword Table</t>
  </si>
  <si>
    <t>Writing: Tích hợp cấu trúc nâng cao (Đảo ngữ, Câu chẻ It is... that)</t>
  </si>
  <si>
    <t>Speaking: Luyện ngữ điệu (Intonation) và nhấn trọng âm câu (Sentence stress)</t>
  </si>
  <si>
    <t>Cấu trúc ngữ pháp cao cấp: Hardly had..., Not only... but also...</t>
  </si>
  <si>
    <t>Ứng dụng cấu trúc đảo ngữ chuẩn xác vào bài viết Task 2</t>
  </si>
  <si>
    <t>Tháng 9</t>
  </si>
  <si>
    <t>Tuần 35</t>
  </si>
  <si>
    <t>GĐ 3: Đẩy Listening &amp; Reading lên 7.5+</t>
  </si>
  <si>
    <t>Luyện đề Listening Cam 15 Test 2 (Mục tiêu 31-33 câu - Band 7.5)</t>
  </si>
  <si>
    <t>Luyện đề Reading Cam 15 Test 2 (Mục tiêu 31-33 câu - Band 7.5)</t>
  </si>
  <si>
    <t>Writing Task 2: Chuyên đề các chủ đề khó (Crime, Art, Space Exploration)</t>
  </si>
  <si>
    <t>Speaking Part 2: Phản xạ với các đề lạ (A difficult decision, a disagreement)</t>
  </si>
  <si>
    <t>Từ vựng chuyên sâu chủ đề Crime, Rehabilitation, Space research</t>
  </si>
  <si>
    <t>Listening &amp; Reading đều chạm ngưỡng 7.5; Không bị bí ý chủ đề lạ</t>
  </si>
  <si>
    <t>Tuần 36</t>
  </si>
  <si>
    <t>GĐ 3: Hoàn thiện Fluency &amp; Viết Task 1 khó</t>
  </si>
  <si>
    <t>Luyện nghe audio tốc độ 1.2x để tăng độ nhạy phản xạ khi đi thi</t>
  </si>
  <si>
    <t>Reading: Tập trung sửa triệt để dạng bài còn sai nhiều (Matching Headings / T/F/NG)</t>
  </si>
  <si>
    <t>Writing Task 1: Luyện viết 2 bài Process &amp; Map nâng cao</t>
  </si>
  <si>
    <t>Speaking: Thu âm và tự nghe lại để loại bỏ toàn bộ từ 'à', 'ừm' không cần thiết</t>
  </si>
  <si>
    <t>Tổng hợp 50 cụm Collocations tự nhiên cho Speaking Part 1 &amp; 2</t>
  </si>
  <si>
    <t>Speaking trôi chảy tự nhiên, giảm 80% độ ngập ngừng</t>
  </si>
  <si>
    <t>Tuần 37</t>
  </si>
  <si>
    <t>GĐ 3: Tổng ôn bộ đề Cam 15</t>
  </si>
  <si>
    <t>Làm Full Test Listening + Reading Cam 15 Test 3 &amp; 4 (phân tích lỗi cực sâu)</t>
  </si>
  <si>
    <t>Viết 3 bài Task 2 trọng điểm; kiểm tra sự cân đối lập luận giữa các đoạn</t>
  </si>
  <si>
    <t>Luyện 10 chủ đề Speaking Part 3 có độ trừu tượng cao</t>
  </si>
  <si>
    <t>Ôn tập 200 từ vựng C1/Collocations từ các bài đọc Cam 15</t>
  </si>
  <si>
    <t>Hoàn thành các bài viết Task 2 với lập luận đa chiều vững chắc</t>
  </si>
  <si>
    <t>Tuần 38</t>
  </si>
  <si>
    <t>GĐ 3: Ghép đề &amp; Rà soát Lỗi sai Toàn diện</t>
  </si>
  <si>
    <t>Làm đề Listening &amp; Reading Cam 16 Test 1; ghi chép chi tiết vào Mistake Log</t>
  </si>
  <si>
    <t>Writing: Tối ưu hóa tiêu chí Lexical Resource &amp; Grammatical Range</t>
  </si>
  <si>
    <t>Speaking: Luyện Mock Test Speaking 1-1 có bấm giờ chính xác</t>
  </si>
  <si>
    <t>Rà soát toàn bộ các lỗi chính tả Listening hay sai (double letters)</t>
  </si>
  <si>
    <t>Hạn chế tối đa các lỗi sai chính tả trong Listening &amp; Reading</t>
  </si>
  <si>
    <t>Tuần 39</t>
  </si>
  <si>
    <t>GĐ 3: MOCK TEST CUỐI GIAI ĐOẠN 3 (MỤC TIÊU 6.5 OVERALL)</t>
  </si>
  <si>
    <t>THI THỬ FULL TEST 4 KỸ NĂNG DƯỚI ÁP LỰC THI THẬT (Đề Cam 16 Test 2)</t>
  </si>
  <si>
    <t>Listening Target: 30-32/40 (Band 7.0 - 7.5) | Reading Target: 30-32/40 (Band 7.0 - 7.5)</t>
  </si>
  <si>
    <t>Writing Target: Task 1 (6.5) + Task 2 (6.5) =&gt; Writing 6.5</t>
  </si>
  <si>
    <t>Speaking Target: Fluency tốt, phát âm chuẩn, ý tứ rõ ràng (Band 6.5)</t>
  </si>
  <si>
    <t>Đánh giá toàn diện và lập kế hoạch nước rút cho 3 tháng cuối</t>
  </si>
  <si>
    <t>ĐẠT CHÍNH THỨC BAND 6.5 OVERALL - BƯỚC VÀO CHẶNG LUYỆN ĐỀ THỰC CHIẾN</t>
  </si>
  <si>
    <t>Tháng 10</t>
  </si>
  <si>
    <t>Tuần 40</t>
  </si>
  <si>
    <t>GĐ 4: Thực chiến Cam 16 &amp; Tối ưu Listening</t>
  </si>
  <si>
    <t>Giải đề Cam 16 Test 3 &amp; 4 (Listening + Reading buổi sáng 9h - 11h30 như thi thật)</t>
  </si>
  <si>
    <t>Phân tích kỹ lưỡng từng bẫy âm thanh gây mất điểm ở Sec 3 &amp; Sec 4</t>
  </si>
  <si>
    <t>Writing Task 1: Rà soát lại tất cả các dạng, viết tốc độ 17 phút/bài</t>
  </si>
  <si>
    <t>Speaking: Luyện 15 chủ đề Part 1 trong Bộ đề Dự đoán (Forecast) mới nhất</t>
  </si>
  <si>
    <t>Củng cố các cặp từ dễ nhầm lẫn trong chính tả Listening (accommodation, environment)</t>
  </si>
  <si>
    <t>Listening chạm mốc 33/40 (Band 7.5); Viết Task 1 trong 17 phút</t>
  </si>
  <si>
    <t>Tuần 41</t>
  </si>
  <si>
    <t>GĐ 4: Thực chiến Cam 17 &amp; Tối ưu Reading</t>
  </si>
  <si>
    <t>Giải đề Cam 17 Test 1 &amp; 2 (bấm giờ nghiêm ngặt)</t>
  </si>
  <si>
    <t>Reading: Mục tiêu kiểm soát bài đọc trong 50 phút, 10 phút soát đáp án</t>
  </si>
  <si>
    <t>Writing Task 2: Viết 2 bài chủ đề Giáo dục &amp; Công nghệ theo đề thi thật</t>
  </si>
  <si>
    <t>Speaking: Luyện 10 chủ đề Part 2 trong Forecast quý thi (lập sơ đồ ý nhanh)</t>
  </si>
  <si>
    <t>Học các cụm C1 nâng band điểm Lexical cho Speaking (A double-edged sword, invaluable)</t>
  </si>
  <si>
    <t>Reading ổn định 33-35/40 (Band 7.5 - 8.0); Speaking phản xạ trong 10s</t>
  </si>
  <si>
    <t>Tuần 42</t>
  </si>
  <si>
    <t>GĐ 4: Luyện đề Cam 17 &amp; Đột phá Writing 6.5+</t>
  </si>
  <si>
    <t>Giải đề Cam 17 Test 3 &amp; 4 (Listening + Reading)</t>
  </si>
  <si>
    <t>Writing: Tối ưu bài viết bằng cách đưa ví dụ thực tế và số liệu thuyết phục</t>
  </si>
  <si>
    <t>Speaking: Luyện Part 3 trong Forecast (tập trung giải thích sâu và phản biện logic)</t>
  </si>
  <si>
    <t>Duy trì thói quen nghe Podcast tiếng Anh 30 phút mỗi ngày khi đi lại/thư giãn</t>
  </si>
  <si>
    <t>Tổng hợp 50 Collocations ăn điểm cho Writing Task 2</t>
  </si>
  <si>
    <t>Writing được chấm ổn định 6.5; Không còn lỗi sai ngữ pháp cơ bản</t>
  </si>
  <si>
    <t>Tuần 43</t>
  </si>
  <si>
    <t>GĐ 4: Tổng kết Cam 17 &amp; Mistake Log Chuyên sâu</t>
  </si>
  <si>
    <t>Giải Full Test Cam 17; Tổng kết toàn bộ lỗi sai của bộ đề Cambridge 16 &amp; 17</t>
  </si>
  <si>
    <t>Reading: Đọc lại các bài văn mẫu điểm cao để học cách tổ chức ý tưởng</t>
  </si>
  <si>
    <t>Writing: Viết 1 bài Task 1 và 1 bài Task 2 trong 55 phút liên tục</t>
  </si>
  <si>
    <t>Speaking: Mock Test 1-1 Speaking trọn vẹn 15 phút với giáo viên/bạn học</t>
  </si>
  <si>
    <t>Rà soát toàn bộ các bẫy thường gặp trong Sổ tay lỗi sai cá nhân</t>
  </si>
  <si>
    <t>Khắc phục 90% các lỗi sai cố hữu từng mắc phải trong các đề trước</t>
  </si>
  <si>
    <t>Tháng 11</t>
  </si>
  <si>
    <t>Tuần 44</t>
  </si>
  <si>
    <t>GĐ 4: Thực chiến Cambridge 18 Test 1 &amp; 2</t>
  </si>
  <si>
    <t>Giải đề Cam 18 Test 1 &amp; Test 2 theo đúng quy trình và khung giờ thi thật</t>
  </si>
  <si>
    <t>Listening mục tiêu: 34-36/40 (Band 8.0) để tạo vùng an toàn tối đa cho Overall</t>
  </si>
  <si>
    <t>Reading mục tiêu: 33-35/40 (Band 7.5 - 8.0)</t>
  </si>
  <si>
    <t>Writing: Viết và sửa 2 bài Task 2 bám sát xu hướng ra đề năm nay</t>
  </si>
  <si>
    <t>Speaking: Luyện toàn bộ các chủ đề Part 1 &amp; Part 2 còn lại trong Forecast</t>
  </si>
  <si>
    <t>Listening &amp; Reading đạt mốc 8.0 vững chắc trong đề Cambridge 18</t>
  </si>
  <si>
    <t>Tuần 45</t>
  </si>
  <si>
    <t>GĐ 4: Thực chiến Cambridge 18 Test 3 &amp; 4</t>
  </si>
  <si>
    <t>Giải đề Cam 18 Test 3 &amp; Test 4 (Listening + Reading)</t>
  </si>
  <si>
    <t>Writing Task 1: Viết nhanh các dạng biểu đồ hiếm gặp (Map quy hoạch, Process tự nhiên)</t>
  </si>
  <si>
    <t>Speaking: Luyện tập phản xạ Part 3 với các chủ đề trừu tượng (Nghệ thuật, Triết học)</t>
  </si>
  <si>
    <t>Làm quen với việc tô phiếu trả lời (Answer Sheet) để tránh nhầm dòng</t>
  </si>
  <si>
    <t>Ôn tập sổ tay Paraphrase và các từ vựng 'tủ' theo chủ đề</t>
  </si>
  <si>
    <t>Tốc độ làm bài chuẩn xác, không bị tâm lý phòng thi</t>
  </si>
  <si>
    <t>Tuần 46</t>
  </si>
  <si>
    <t>GĐ 4: Bộ đề IELTS Trainer 2 &amp; Chữa Đề Chi tiết</t>
  </si>
  <si>
    <t>Giải 2 đề Listening &amp; Reading từ cuốn IELTS Trainer 2</t>
  </si>
  <si>
    <t>Writing: Viết 2 bài Task 2 dạng Two-Part &amp; Problem-Solution; tối ưu liên từ</t>
  </si>
  <si>
    <t>Speaking: Luyện nói trôi chảy tự nhiên, chú trọng ngữ điệu và nụ cười</t>
  </si>
  <si>
    <t>Phân tích các câu sai trong IELTS Trainer 2 (thường có độ khó cao hơn Cam)</t>
  </si>
  <si>
    <t>Xử lý thành thạo các câu hỏi có độ bẫy cao trong Trainer 2</t>
  </si>
  <si>
    <t>Tuần 47</t>
  </si>
  <si>
    <t>GĐ 4: Rà soát Điểm số &amp; Tối ưu Hóa Band Điểm</t>
  </si>
  <si>
    <t>Làm đề Cambridge 19 Test 1 có bấm giờ phòng thi</t>
  </si>
  <si>
    <t>Writing: Rà soát lần cuối toàn bộ 10 dạng bài Task 1 và 5 dạng bài Task 2</t>
  </si>
  <si>
    <t>Speaking: Mock Test Full 3 Parts với người có chuyên môn (Target: 6.5+)</t>
  </si>
  <si>
    <t>Tổng hợp các cụm từ đệm tự nhiên cho Speaking để kéo dài thời gian suy nghĩ</t>
  </si>
  <si>
    <t>Điểm thi thử đạt liên tục từ 7.0 đến 7.5 Overall trong 3 đề gần nhất</t>
  </si>
  <si>
    <t>Tháng 12</t>
  </si>
  <si>
    <t>Tuần 48</t>
  </si>
  <si>
    <t>GĐ 4: Thực chiến Cambridge 19 Test 2 &amp; 3</t>
  </si>
  <si>
    <t>Giải đề Cam 19 Test 2 &amp; 3 đúng quy trình thi thật</t>
  </si>
  <si>
    <t>Listening &amp; Reading duy trì phong độ đỉnh cao (34 - 36 câu đúng)</t>
  </si>
  <si>
    <t>Writing: Viết 2 bài luận Task 2 hoàn chỉnh trong đúng 38 phút/bài</t>
  </si>
  <si>
    <t>Speaking: Luyện tập 20 chủ đề trọng điểm nhất trong Forecast</t>
  </si>
  <si>
    <t>Phong độ ổn định vững vàng ở mức 7.0 - 7.5 Overall</t>
  </si>
  <si>
    <t>Tuần 49</t>
  </si>
  <si>
    <t>GĐ 4: Thực chiến Cambridge 19 Test 4 &amp; Tổng kết Toàn diện</t>
  </si>
  <si>
    <t>Giải đề Cambridge 19 Test 4 - Đề thi mới nhất hiện nay</t>
  </si>
  <si>
    <t>Xem lại toàn bộ Sổ tay lỗi sai (Mistake Log) từ Tháng 1 đến nay</t>
  </si>
  <si>
    <t>Viết 1 bài Task 1 và 1 bài Task 2 cuối cùng để kiểm tra phong độ chữ viết</t>
  </si>
  <si>
    <t>Speaking: Luyện nói nhẹ nhàng 20 phút mỗi ngày để duy trì cơ miệng</t>
  </si>
  <si>
    <t>Hoàn thành trọn vẹn bộ đề Cambridge 19 với kết quả xuất sắc</t>
  </si>
  <si>
    <t>Tuần 50</t>
  </si>
  <si>
    <t>GĐ 4: Mock Test Tổng duyệt Cuối cùng</t>
  </si>
  <si>
    <t>Làm 1 buổi MOCK TEST TỔNG DUYỆT ĐẦY ĐỦ 4 KỸ NĂNG (Mục tiêu 7.0 - 7.5)</t>
  </si>
  <si>
    <t>Chuẩn bị đầy đủ giấy tờ tùy thân (CCCD/Passport), kiểm tra địa điểm thi</t>
  </si>
  <si>
    <t>Lên kế hoạch di chuyển và chế độ dinh dưỡng, ngủ nghỉ trước ngày thi</t>
  </si>
  <si>
    <t>Đọc lướt lại sổ tay Paraphrase và các bài mẫu 8.0 để tạo cảm hứng</t>
  </si>
  <si>
    <t>TÂM LÝ TỰ TIN, SẴN SÀNG 100% BƯỚC VÀO PHÒNG THI THẬT</t>
  </si>
  <si>
    <t>Tuần 51</t>
  </si>
  <si>
    <t>GĐ 4: TUẦN THI THẬT - CHINH PHỤC IELTS 7.0+</t>
  </si>
  <si>
    <t>Nghỉ ngơi, ngủ đủ 8 tiếng/ngày trước ngày thi 3 ngày; không học kiến thức mới</t>
  </si>
  <si>
    <t>Khởi động nhẹ nhàng cơ miệng Speaking vào buổi sáng ngày thi</t>
  </si>
  <si>
    <t>BƯỚC VÀO PHÒNG THI VỚI TINH THẦN TỰ TIN VÀ TẬP TRUNG TỐI ĐA</t>
  </si>
  <si>
    <t>HOÀN THÀNH XUẤT SẮC KỲ THI IELTS VỚI MỤC TIÊU 7.0+ OVERALL</t>
  </si>
  <si>
    <t>Thời lượng: Tuần thi chính thức</t>
  </si>
  <si>
    <t>KPI: HOÀN THÀNH XUẤT SẮC BÀI THI THẬT</t>
  </si>
  <si>
    <t>Tuần 52</t>
  </si>
  <si>
    <t>GĐ 4: NHẬN KẾT QUẢ &amp; ĐẠT MỤC TIÊU IELTS 7.0+</t>
  </si>
  <si>
    <t>Nhận bảng điểm chính thức từ IDP / BC</t>
  </si>
  <si>
    <t>Listening: 7.5+ | Reading: 7.5+ | Writing: 6.5 | Speaking: 6.5 =&gt; OVERALL 7.0+</t>
  </si>
  <si>
    <t>Tổng kết hành trình 1 năm nỗ lực kiên trì và bền bỉ</t>
  </si>
  <si>
    <t>Ứng dụng chứng chỉ IELTS vào mục tiêu du học, công việc hoặc định cư</t>
  </si>
  <si>
    <t>Thời lượng: Hoàn thành mục tiêu</t>
  </si>
  <si>
    <t>KPI: ĐẠT CHỨNG CHỈ IELTS 7.0+ OVERALL CHÍNH THỨC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</si>
</sst>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9">
    <font>
      <sz val="11.0"/>
      <color theme="1"/>
      <name val="Calibri"/>
      <scheme val="minor"/>
    </font>
    <font>
      <b/>
      <sz val="15.0"/>
      <color rgb="FF1E3A8A"/>
      <name val="Calibri"/>
    </font>
    <font>
      <i/>
      <sz val="10.0"/>
      <color rgb="FF475569"/>
      <name val="Calibri"/>
    </font>
    <font>
      <b/>
      <sz val="12.0"/>
      <color rgb="FF1E3A8A"/>
      <name val="Calibri"/>
    </font>
    <font>
      <b/>
      <sz val="10.0"/>
      <color rgb="FFFFFFFF"/>
      <name val="Calibri"/>
    </font>
    <font>
      <b/>
      <sz val="10.0"/>
      <color theme="1"/>
      <name val="Calibri"/>
    </font>
    <font>
      <sz val="9.0"/>
      <color theme="1"/>
      <name val="Calibri"/>
    </font>
    <font>
      <b/>
      <sz val="14.0"/>
      <color rgb="FF1E3A8A"/>
      <name val="Calibri"/>
    </font>
    <font>
      <b/>
      <sz val="14.0"/>
      <color rgb="FF166534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7" numFmtId="3" xfId="0" applyAlignment="1" applyBorder="1" applyFill="1" applyFont="1" applyNumberFormat="1">
      <alignment horizontal="center" shrinkToFit="0" vertical="center" wrapText="1"/>
    </xf>
    <xf borderId="1" fillId="7" fontId="8" numFmtId="164" xfId="0" applyAlignment="1" applyBorder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8" fontId="5" numFmtId="164" xfId="0" applyAlignment="1" applyBorder="1" applyFill="1" applyFont="1" applyNumberForma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5" numFmtId="165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6" fontId="5" numFmtId="165" xfId="0" applyAlignment="1" applyBorder="1" applyFont="1" applyNumberFormat="1">
      <alignment horizontal="center" shrinkToFit="0" vertical="center" wrapText="1"/>
    </xf>
    <xf borderId="1" fillId="6" fontId="5" numFmtId="0" xfId="0" applyAlignment="1" applyBorder="1" applyFont="1">
      <alignment horizontal="left"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readingOrder="0" shrinkToFit="0" vertical="center" wrapText="1"/>
    </xf>
    <xf borderId="1" fillId="0" fontId="6" numFmtId="165" xfId="0" applyAlignment="1" applyBorder="1" applyFont="1" applyNumberFormat="1">
      <alignment horizontal="center" shrinkToFit="0" vertical="center" wrapText="1"/>
    </xf>
    <xf borderId="1" fillId="8" fontId="5" numFmtId="165" xfId="0" applyAlignment="1" applyBorder="1" applyFont="1" applyNumberFormat="1">
      <alignment horizontal="center" shrinkToFit="0" vertical="center" wrapText="1"/>
    </xf>
    <xf borderId="1" fillId="4" fontId="6" numFmtId="165" xfId="0" applyAlignment="1" applyBorder="1" applyFont="1" applyNumberFormat="1">
      <alignment horizontal="center" shrinkToFit="0" vertical="center" wrapText="1"/>
    </xf>
    <xf borderId="1" fillId="9" fontId="5" numFmtId="0" xfId="0" applyAlignment="1" applyBorder="1" applyFill="1" applyFont="1">
      <alignment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  <tableStyles count="1">
    <tableStyle count="4" pivot="0" name="Chi Tiết 52 Tuầ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L56" displayName="Lộ_Trình" name="Lộ_Trình" id="1">
  <tableColumns count="12">
    <tableColumn name="Tháng" id="1"/>
    <tableColumn name="Tuần" id="2"/>
    <tableColumn name="Giai đoạn &amp; Mục tiêu trọng tâm" id="3"/>
    <tableColumn name="Listening (Nghe)" id="4"/>
    <tableColumn name="Reading (Đọc)" id="5"/>
    <tableColumn name="Writing (Viết)" id="6"/>
    <tableColumn name="Speaking (Nói)" id="7"/>
    <tableColumn name="Từ vựng / Ngữ pháp" id="8"/>
    <tableColumn name="Thời lượng gợi ý" id="9"/>
    <tableColumn name="KPI Đầu ra Tuần" id="10"/>
    <tableColumn name="Trạng thái" id="11"/>
    <tableColumn name="Ghi chú cá nhân" id="12"/>
  </tableColumns>
  <tableStyleInfo name="Chi Tiết 52 Tuầ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3" width="24.0"/>
    <col customWidth="1" min="4" max="4" width="20.0"/>
    <col customWidth="1" min="5" max="6" width="22.0"/>
    <col customWidth="1" min="7" max="26" width="8.71"/>
  </cols>
  <sheetData>
    <row r="1" ht="27.75" customHeight="1">
      <c r="A1" s="1" t="s">
        <v>0</v>
      </c>
    </row>
    <row r="2" ht="18.0" customHeight="1">
      <c r="A2" s="2" t="s">
        <v>2</v>
      </c>
    </row>
    <row r="4">
      <c r="A4" s="3" t="s">
        <v>3</v>
      </c>
    </row>
    <row r="5" ht="24.0" customHeight="1">
      <c r="A5" s="5" t="s">
        <v>5</v>
      </c>
      <c r="B5" s="5" t="s">
        <v>12</v>
      </c>
      <c r="C5" s="5" t="s">
        <v>14</v>
      </c>
      <c r="D5" s="5" t="s">
        <v>15</v>
      </c>
      <c r="E5" s="5" t="s">
        <v>16</v>
      </c>
    </row>
    <row r="6" ht="31.5" customHeight="1">
      <c r="A6" s="15">
        <f>COUNTA('Chi Tiết 52 Tuần'!B5:B56)</f>
        <v>52</v>
      </c>
      <c r="B6" s="15">
        <f>COUNTIF('Chi Tiết 52 Tuần'!K5:K56, "Hoàn thành")</f>
        <v>0</v>
      </c>
      <c r="C6" s="15">
        <f>COUNTIF('Chi Tiết 52 Tuần'!K5:K56, "Đang học")</f>
        <v>1</v>
      </c>
      <c r="D6" s="15">
        <f>COUNTIF('Chi Tiết 52 Tuần'!K5:K56, "Chưa học")</f>
        <v>42</v>
      </c>
      <c r="E6" s="16">
        <f>B6/A6</f>
        <v>0</v>
      </c>
    </row>
    <row r="9">
      <c r="A9" s="3" t="s">
        <v>92</v>
      </c>
    </row>
    <row r="10" ht="24.0" customHeight="1">
      <c r="A10" s="4" t="s">
        <v>4</v>
      </c>
      <c r="B10" s="4" t="s">
        <v>97</v>
      </c>
      <c r="C10" s="4" t="s">
        <v>99</v>
      </c>
      <c r="D10" s="4" t="s">
        <v>101</v>
      </c>
      <c r="E10" s="4" t="s">
        <v>103</v>
      </c>
      <c r="F10" s="4" t="s">
        <v>106</v>
      </c>
    </row>
    <row r="11" ht="21.75" customHeight="1">
      <c r="A11" s="11" t="s">
        <v>109</v>
      </c>
      <c r="B11" s="12" t="s">
        <v>112</v>
      </c>
      <c r="C11" s="12">
        <v>12.0</v>
      </c>
      <c r="D11" s="10" t="s">
        <v>116</v>
      </c>
      <c r="E11" s="12">
        <f>COUNTIF('Chi Tiết 52 Tuần'!K5:K16, "Hoàn thành")</f>
        <v>0</v>
      </c>
      <c r="F11" s="18">
        <f t="shared" ref="F11:F14" si="1">E11/C11</f>
        <v>0</v>
      </c>
    </row>
    <row r="12" ht="21.75" customHeight="1">
      <c r="A12" s="11" t="s">
        <v>134</v>
      </c>
      <c r="B12" s="12" t="s">
        <v>136</v>
      </c>
      <c r="C12" s="12">
        <v>14.0</v>
      </c>
      <c r="D12" s="10" t="s">
        <v>137</v>
      </c>
      <c r="E12" s="12">
        <f>COUNTIF('Chi Tiết 52 Tuần'!K17:K30, "Hoàn thành")</f>
        <v>0</v>
      </c>
      <c r="F12" s="18">
        <f t="shared" si="1"/>
        <v>0</v>
      </c>
    </row>
    <row r="13" ht="21.75" customHeight="1">
      <c r="A13" s="11" t="s">
        <v>141</v>
      </c>
      <c r="B13" s="12" t="s">
        <v>142</v>
      </c>
      <c r="C13" s="12">
        <v>13.0</v>
      </c>
      <c r="D13" s="10" t="s">
        <v>143</v>
      </c>
      <c r="E13" s="12">
        <f>COUNTIF('Chi Tiết 52 Tuần'!K31:K43, "Hoàn thành")</f>
        <v>0</v>
      </c>
      <c r="F13" s="18">
        <f t="shared" si="1"/>
        <v>0</v>
      </c>
    </row>
    <row r="14" ht="21.75" customHeight="1">
      <c r="A14" s="11" t="s">
        <v>146</v>
      </c>
      <c r="B14" s="12" t="s">
        <v>147</v>
      </c>
      <c r="C14" s="12">
        <v>13.0</v>
      </c>
      <c r="D14" s="10" t="s">
        <v>148</v>
      </c>
      <c r="E14" s="12">
        <f>COUNTIF('Chi Tiết 52 Tuần'!K44:K56, "Hoàn thành")</f>
        <v>0</v>
      </c>
      <c r="F14" s="18">
        <f t="shared" si="1"/>
        <v>0</v>
      </c>
    </row>
    <row r="17">
      <c r="A17" s="3" t="s">
        <v>151</v>
      </c>
    </row>
    <row r="18" ht="24.0" customHeight="1">
      <c r="A18" s="14" t="s">
        <v>153</v>
      </c>
      <c r="B18" s="14" t="s">
        <v>154</v>
      </c>
      <c r="C18" s="14" t="s">
        <v>155</v>
      </c>
      <c r="D18" s="14" t="s">
        <v>156</v>
      </c>
      <c r="E18" s="14" t="s">
        <v>157</v>
      </c>
    </row>
    <row r="19" ht="21.75" customHeight="1">
      <c r="A19" s="10" t="s">
        <v>159</v>
      </c>
      <c r="B19" s="23">
        <v>7.5</v>
      </c>
      <c r="C19" s="13" t="s">
        <v>161</v>
      </c>
      <c r="D19" s="12" t="s">
        <v>163</v>
      </c>
      <c r="E19" s="13" t="s">
        <v>164</v>
      </c>
    </row>
    <row r="20" ht="21.75" customHeight="1">
      <c r="A20" s="10" t="s">
        <v>165</v>
      </c>
      <c r="B20" s="23">
        <v>7.5</v>
      </c>
      <c r="C20" s="13" t="s">
        <v>166</v>
      </c>
      <c r="D20" s="12" t="s">
        <v>163</v>
      </c>
      <c r="E20" s="13" t="s">
        <v>168</v>
      </c>
    </row>
    <row r="21" ht="21.75" customHeight="1">
      <c r="A21" s="10" t="s">
        <v>169</v>
      </c>
      <c r="B21" s="23">
        <v>6.5</v>
      </c>
      <c r="C21" s="13" t="s">
        <v>170</v>
      </c>
      <c r="D21" s="12" t="s">
        <v>171</v>
      </c>
      <c r="E21" s="13" t="s">
        <v>173</v>
      </c>
    </row>
    <row r="22" ht="21.75" customHeight="1">
      <c r="A22" s="10" t="s">
        <v>174</v>
      </c>
      <c r="B22" s="23">
        <v>6.5</v>
      </c>
      <c r="C22" s="13" t="s">
        <v>175</v>
      </c>
      <c r="D22" s="12" t="s">
        <v>171</v>
      </c>
      <c r="E22" s="13" t="s">
        <v>176</v>
      </c>
    </row>
    <row r="23" ht="21.75" customHeight="1">
      <c r="A23" s="26" t="s">
        <v>177</v>
      </c>
      <c r="B23" s="27">
        <v>7.0</v>
      </c>
      <c r="C23" s="28" t="s">
        <v>178</v>
      </c>
      <c r="D23" s="26" t="s">
        <v>179</v>
      </c>
      <c r="E23" s="28" t="s">
        <v>180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86"/>
    <col customWidth="1" min="2" max="2" width="12.0"/>
    <col customWidth="1" min="3" max="3" width="32.0"/>
    <col customWidth="1" min="4" max="7" width="34.0"/>
    <col customWidth="1" min="8" max="8" width="32.0"/>
    <col customWidth="1" min="9" max="9" width="16.0"/>
    <col customWidth="1" min="10" max="10" width="32.0"/>
    <col customWidth="1" min="11" max="11" width="18.43"/>
    <col customWidth="1" min="12" max="12" width="24.0"/>
    <col customWidth="1" min="13" max="26" width="8.71"/>
  </cols>
  <sheetData>
    <row r="1" ht="27.75" customHeight="1">
      <c r="A1" s="1" t="s">
        <v>79</v>
      </c>
    </row>
    <row r="2" ht="18.0" customHeight="1">
      <c r="A2" s="2" t="s">
        <v>81</v>
      </c>
    </row>
    <row r="4" ht="25.5" customHeight="1">
      <c r="A4" s="17" t="s">
        <v>85</v>
      </c>
      <c r="B4" s="17" t="s">
        <v>96</v>
      </c>
      <c r="C4" s="17" t="s">
        <v>104</v>
      </c>
      <c r="D4" s="17" t="s">
        <v>118</v>
      </c>
      <c r="E4" s="17" t="s">
        <v>120</v>
      </c>
      <c r="F4" s="17" t="s">
        <v>130</v>
      </c>
      <c r="G4" s="17" t="s">
        <v>131</v>
      </c>
      <c r="H4" s="17" t="s">
        <v>132</v>
      </c>
      <c r="I4" s="17" t="s">
        <v>133</v>
      </c>
      <c r="J4" s="17" t="s">
        <v>135</v>
      </c>
      <c r="K4" s="17" t="s">
        <v>138</v>
      </c>
      <c r="L4" s="17" t="s">
        <v>139</v>
      </c>
    </row>
    <row r="5" ht="39.75" customHeight="1">
      <c r="A5" s="19" t="s">
        <v>140</v>
      </c>
      <c r="B5" s="20" t="s">
        <v>144</v>
      </c>
      <c r="C5" s="21" t="s">
        <v>145</v>
      </c>
      <c r="D5" s="22" t="s">
        <v>149</v>
      </c>
      <c r="E5" s="22" t="s">
        <v>150</v>
      </c>
      <c r="F5" s="22" t="s">
        <v>152</v>
      </c>
      <c r="G5" s="22" t="s">
        <v>158</v>
      </c>
      <c r="H5" s="22" t="s">
        <v>160</v>
      </c>
      <c r="I5" s="24" t="s">
        <v>162</v>
      </c>
      <c r="J5" s="22" t="s">
        <v>167</v>
      </c>
      <c r="K5" s="25" t="s">
        <v>172</v>
      </c>
      <c r="L5" s="22"/>
    </row>
    <row r="6" ht="39.75" customHeight="1">
      <c r="A6" s="29" t="s">
        <v>140</v>
      </c>
      <c r="B6" s="30" t="s">
        <v>181</v>
      </c>
      <c r="C6" s="31" t="s">
        <v>182</v>
      </c>
      <c r="D6" s="32" t="s">
        <v>183</v>
      </c>
      <c r="E6" s="32" t="s">
        <v>184</v>
      </c>
      <c r="F6" s="32" t="s">
        <v>185</v>
      </c>
      <c r="G6" s="32" t="s">
        <v>186</v>
      </c>
      <c r="H6" s="32" t="s">
        <v>187</v>
      </c>
      <c r="I6" s="33" t="s">
        <v>162</v>
      </c>
      <c r="J6" s="32" t="s">
        <v>188</v>
      </c>
      <c r="K6" s="34" t="s">
        <v>189</v>
      </c>
      <c r="L6" s="32"/>
    </row>
    <row r="7" ht="39.75" customHeight="1">
      <c r="A7" s="19" t="s">
        <v>140</v>
      </c>
      <c r="B7" s="20" t="s">
        <v>190</v>
      </c>
      <c r="C7" s="21" t="s">
        <v>191</v>
      </c>
      <c r="D7" s="22" t="s">
        <v>192</v>
      </c>
      <c r="E7" s="22" t="s">
        <v>193</v>
      </c>
      <c r="F7" s="22" t="s">
        <v>194</v>
      </c>
      <c r="G7" s="22" t="s">
        <v>195</v>
      </c>
      <c r="H7" s="22" t="s">
        <v>196</v>
      </c>
      <c r="I7" s="24" t="s">
        <v>162</v>
      </c>
      <c r="J7" s="22" t="s">
        <v>197</v>
      </c>
      <c r="K7" s="19" t="s">
        <v>189</v>
      </c>
      <c r="L7" s="22"/>
    </row>
    <row r="8" ht="39.75" customHeight="1">
      <c r="A8" s="29" t="s">
        <v>140</v>
      </c>
      <c r="B8" s="30" t="s">
        <v>198</v>
      </c>
      <c r="C8" s="31" t="s">
        <v>199</v>
      </c>
      <c r="D8" s="32" t="s">
        <v>200</v>
      </c>
      <c r="E8" s="32" t="s">
        <v>201</v>
      </c>
      <c r="F8" s="32" t="s">
        <v>203</v>
      </c>
      <c r="G8" s="32" t="s">
        <v>204</v>
      </c>
      <c r="H8" s="32" t="s">
        <v>206</v>
      </c>
      <c r="I8" s="33" t="s">
        <v>162</v>
      </c>
      <c r="J8" s="32" t="s">
        <v>210</v>
      </c>
      <c r="K8" s="29" t="s">
        <v>189</v>
      </c>
      <c r="L8" s="32"/>
    </row>
    <row r="9" ht="39.75" customHeight="1">
      <c r="A9" s="19" t="s">
        <v>213</v>
      </c>
      <c r="B9" s="20" t="s">
        <v>214</v>
      </c>
      <c r="C9" s="21" t="s">
        <v>216</v>
      </c>
      <c r="D9" s="22" t="s">
        <v>218</v>
      </c>
      <c r="E9" s="22" t="s">
        <v>219</v>
      </c>
      <c r="F9" s="22" t="s">
        <v>220</v>
      </c>
      <c r="G9" s="22" t="s">
        <v>221</v>
      </c>
      <c r="H9" s="22" t="s">
        <v>222</v>
      </c>
      <c r="I9" s="24" t="s">
        <v>162</v>
      </c>
      <c r="J9" s="22" t="s">
        <v>223</v>
      </c>
      <c r="K9" s="19" t="s">
        <v>189</v>
      </c>
      <c r="L9" s="22"/>
    </row>
    <row r="10" ht="39.75" customHeight="1">
      <c r="A10" s="29" t="s">
        <v>213</v>
      </c>
      <c r="B10" s="30" t="s">
        <v>224</v>
      </c>
      <c r="C10" s="31" t="s">
        <v>225</v>
      </c>
      <c r="D10" s="32" t="s">
        <v>226</v>
      </c>
      <c r="E10" s="32" t="s">
        <v>227</v>
      </c>
      <c r="F10" s="32" t="s">
        <v>228</v>
      </c>
      <c r="G10" s="32" t="s">
        <v>229</v>
      </c>
      <c r="H10" s="32" t="s">
        <v>230</v>
      </c>
      <c r="I10" s="33" t="s">
        <v>162</v>
      </c>
      <c r="J10" s="32" t="s">
        <v>231</v>
      </c>
      <c r="K10" s="29" t="s">
        <v>189</v>
      </c>
      <c r="L10" s="32"/>
    </row>
    <row r="11" ht="39.75" customHeight="1">
      <c r="A11" s="19" t="s">
        <v>213</v>
      </c>
      <c r="B11" s="20" t="s">
        <v>237</v>
      </c>
      <c r="C11" s="21" t="s">
        <v>238</v>
      </c>
      <c r="D11" s="22" t="s">
        <v>240</v>
      </c>
      <c r="E11" s="22" t="s">
        <v>244</v>
      </c>
      <c r="F11" s="22" t="s">
        <v>246</v>
      </c>
      <c r="G11" s="22" t="s">
        <v>247</v>
      </c>
      <c r="H11" s="22" t="s">
        <v>249</v>
      </c>
      <c r="I11" s="24" t="s">
        <v>162</v>
      </c>
      <c r="J11" s="22" t="s">
        <v>254</v>
      </c>
      <c r="K11" s="19" t="s">
        <v>189</v>
      </c>
      <c r="L11" s="22"/>
    </row>
    <row r="12" ht="39.75" customHeight="1">
      <c r="A12" s="29" t="s">
        <v>213</v>
      </c>
      <c r="B12" s="30" t="s">
        <v>263</v>
      </c>
      <c r="C12" s="31" t="s">
        <v>265</v>
      </c>
      <c r="D12" s="32" t="s">
        <v>270</v>
      </c>
      <c r="E12" s="32" t="s">
        <v>271</v>
      </c>
      <c r="F12" s="32" t="s">
        <v>273</v>
      </c>
      <c r="G12" s="32" t="s">
        <v>277</v>
      </c>
      <c r="H12" s="32" t="s">
        <v>280</v>
      </c>
      <c r="I12" s="33" t="s">
        <v>162</v>
      </c>
      <c r="J12" s="32" t="s">
        <v>281</v>
      </c>
      <c r="K12" s="29" t="s">
        <v>189</v>
      </c>
      <c r="L12" s="32"/>
    </row>
    <row r="13" ht="39.75" customHeight="1">
      <c r="A13" s="19" t="s">
        <v>282</v>
      </c>
      <c r="B13" s="20" t="s">
        <v>283</v>
      </c>
      <c r="C13" s="21" t="s">
        <v>284</v>
      </c>
      <c r="D13" s="22" t="s">
        <v>285</v>
      </c>
      <c r="E13" s="22" t="s">
        <v>286</v>
      </c>
      <c r="F13" s="22" t="s">
        <v>287</v>
      </c>
      <c r="G13" s="22" t="s">
        <v>288</v>
      </c>
      <c r="H13" s="22" t="s">
        <v>289</v>
      </c>
      <c r="I13" s="24" t="s">
        <v>162</v>
      </c>
      <c r="J13" s="22" t="s">
        <v>290</v>
      </c>
      <c r="K13" s="19" t="s">
        <v>189</v>
      </c>
      <c r="L13" s="22"/>
    </row>
    <row r="14" ht="39.75" customHeight="1">
      <c r="A14" s="29" t="s">
        <v>282</v>
      </c>
      <c r="B14" s="30" t="s">
        <v>291</v>
      </c>
      <c r="C14" s="31" t="s">
        <v>292</v>
      </c>
      <c r="D14" s="32" t="s">
        <v>293</v>
      </c>
      <c r="E14" s="32" t="s">
        <v>294</v>
      </c>
      <c r="F14" s="32" t="s">
        <v>295</v>
      </c>
      <c r="G14" s="32" t="s">
        <v>296</v>
      </c>
      <c r="H14" s="32" t="s">
        <v>297</v>
      </c>
      <c r="I14" s="33" t="s">
        <v>162</v>
      </c>
      <c r="J14" s="32" t="s">
        <v>298</v>
      </c>
      <c r="K14" s="29" t="s">
        <v>189</v>
      </c>
      <c r="L14" s="32"/>
    </row>
    <row r="15" ht="39.75" customHeight="1">
      <c r="A15" s="19" t="s">
        <v>282</v>
      </c>
      <c r="B15" s="20" t="s">
        <v>299</v>
      </c>
      <c r="C15" s="21" t="s">
        <v>300</v>
      </c>
      <c r="D15" s="22" t="s">
        <v>301</v>
      </c>
      <c r="E15" s="22" t="s">
        <v>302</v>
      </c>
      <c r="F15" s="22" t="s">
        <v>303</v>
      </c>
      <c r="G15" s="22" t="s">
        <v>304</v>
      </c>
      <c r="H15" s="22" t="s">
        <v>305</v>
      </c>
      <c r="I15" s="24" t="s">
        <v>162</v>
      </c>
      <c r="J15" s="22" t="s">
        <v>306</v>
      </c>
      <c r="K15" s="19" t="s">
        <v>189</v>
      </c>
      <c r="L15" s="22"/>
    </row>
    <row r="16" ht="39.75" customHeight="1">
      <c r="A16" s="38" t="s">
        <v>282</v>
      </c>
      <c r="B16" s="39" t="s">
        <v>307</v>
      </c>
      <c r="C16" s="40" t="s">
        <v>308</v>
      </c>
      <c r="D16" s="40" t="s">
        <v>309</v>
      </c>
      <c r="E16" s="40" t="s">
        <v>310</v>
      </c>
      <c r="F16" s="40" t="s">
        <v>311</v>
      </c>
      <c r="G16" s="40" t="s">
        <v>312</v>
      </c>
      <c r="H16" s="40" t="s">
        <v>313</v>
      </c>
      <c r="I16" s="39" t="s">
        <v>314</v>
      </c>
      <c r="J16" s="40" t="s">
        <v>315</v>
      </c>
      <c r="K16" s="38" t="s">
        <v>189</v>
      </c>
      <c r="L16" s="40"/>
    </row>
    <row r="17" ht="39.75" customHeight="1">
      <c r="A17" s="19" t="s">
        <v>316</v>
      </c>
      <c r="B17" s="20" t="s">
        <v>317</v>
      </c>
      <c r="C17" s="21" t="s">
        <v>318</v>
      </c>
      <c r="D17" s="22" t="s">
        <v>319</v>
      </c>
      <c r="E17" s="22" t="s">
        <v>320</v>
      </c>
      <c r="F17" s="22" t="s">
        <v>321</v>
      </c>
      <c r="G17" s="22" t="s">
        <v>322</v>
      </c>
      <c r="H17" s="22" t="s">
        <v>323</v>
      </c>
      <c r="I17" s="24" t="s">
        <v>324</v>
      </c>
      <c r="J17" s="22" t="s">
        <v>325</v>
      </c>
      <c r="K17" s="19" t="s">
        <v>189</v>
      </c>
      <c r="L17" s="22"/>
    </row>
    <row r="18" ht="39.75" customHeight="1">
      <c r="A18" s="29" t="s">
        <v>316</v>
      </c>
      <c r="B18" s="30" t="s">
        <v>326</v>
      </c>
      <c r="C18" s="31" t="s">
        <v>327</v>
      </c>
      <c r="D18" s="32" t="s">
        <v>328</v>
      </c>
      <c r="E18" s="32" t="s">
        <v>329</v>
      </c>
      <c r="F18" s="32" t="s">
        <v>330</v>
      </c>
      <c r="G18" s="32" t="s">
        <v>331</v>
      </c>
      <c r="H18" s="32" t="s">
        <v>332</v>
      </c>
      <c r="I18" s="33" t="s">
        <v>324</v>
      </c>
      <c r="J18" s="32" t="s">
        <v>333</v>
      </c>
      <c r="K18" s="29" t="s">
        <v>189</v>
      </c>
      <c r="L18" s="32"/>
    </row>
    <row r="19" ht="39.75" customHeight="1">
      <c r="A19" s="19" t="s">
        <v>316</v>
      </c>
      <c r="B19" s="20" t="s">
        <v>334</v>
      </c>
      <c r="C19" s="21" t="s">
        <v>335</v>
      </c>
      <c r="D19" s="22" t="s">
        <v>336</v>
      </c>
      <c r="E19" s="22" t="s">
        <v>337</v>
      </c>
      <c r="F19" s="22" t="s">
        <v>338</v>
      </c>
      <c r="G19" s="22" t="s">
        <v>339</v>
      </c>
      <c r="H19" s="22" t="s">
        <v>340</v>
      </c>
      <c r="I19" s="24" t="s">
        <v>324</v>
      </c>
      <c r="J19" s="22" t="s">
        <v>341</v>
      </c>
      <c r="K19" s="19" t="s">
        <v>189</v>
      </c>
      <c r="L19" s="22"/>
    </row>
    <row r="20" ht="39.75" customHeight="1">
      <c r="A20" s="29" t="s">
        <v>316</v>
      </c>
      <c r="B20" s="30" t="s">
        <v>342</v>
      </c>
      <c r="C20" s="31" t="s">
        <v>343</v>
      </c>
      <c r="D20" s="32" t="s">
        <v>344</v>
      </c>
      <c r="E20" s="32" t="s">
        <v>345</v>
      </c>
      <c r="F20" s="32" t="s">
        <v>346</v>
      </c>
      <c r="G20" s="32" t="s">
        <v>347</v>
      </c>
      <c r="H20" s="32" t="s">
        <v>348</v>
      </c>
      <c r="I20" s="33" t="s">
        <v>324</v>
      </c>
      <c r="J20" s="32" t="s">
        <v>349</v>
      </c>
      <c r="K20" s="29" t="s">
        <v>189</v>
      </c>
      <c r="L20" s="32"/>
    </row>
    <row r="21" ht="39.75" customHeight="1">
      <c r="A21" s="19" t="s">
        <v>350</v>
      </c>
      <c r="B21" s="20" t="s">
        <v>351</v>
      </c>
      <c r="C21" s="21" t="s">
        <v>352</v>
      </c>
      <c r="D21" s="22" t="s">
        <v>353</v>
      </c>
      <c r="E21" s="22" t="s">
        <v>354</v>
      </c>
      <c r="F21" s="22" t="s">
        <v>355</v>
      </c>
      <c r="G21" s="22" t="s">
        <v>356</v>
      </c>
      <c r="H21" s="22" t="s">
        <v>357</v>
      </c>
      <c r="I21" s="24" t="s">
        <v>324</v>
      </c>
      <c r="J21" s="22" t="s">
        <v>358</v>
      </c>
      <c r="K21" s="19" t="s">
        <v>189</v>
      </c>
      <c r="L21" s="22"/>
    </row>
    <row r="22" ht="39.75" customHeight="1">
      <c r="A22" s="29" t="s">
        <v>350</v>
      </c>
      <c r="B22" s="30" t="s">
        <v>359</v>
      </c>
      <c r="C22" s="31" t="s">
        <v>360</v>
      </c>
      <c r="D22" s="32" t="s">
        <v>361</v>
      </c>
      <c r="E22" s="32" t="s">
        <v>362</v>
      </c>
      <c r="F22" s="32" t="s">
        <v>363</v>
      </c>
      <c r="G22" s="32" t="s">
        <v>364</v>
      </c>
      <c r="H22" s="32" t="s">
        <v>365</v>
      </c>
      <c r="I22" s="33" t="s">
        <v>324</v>
      </c>
      <c r="J22" s="32" t="s">
        <v>366</v>
      </c>
      <c r="K22" s="29" t="s">
        <v>189</v>
      </c>
      <c r="L22" s="32"/>
    </row>
    <row r="23" ht="39.75" customHeight="1">
      <c r="A23" s="19" t="s">
        <v>350</v>
      </c>
      <c r="B23" s="20" t="s">
        <v>367</v>
      </c>
      <c r="C23" s="21" t="s">
        <v>368</v>
      </c>
      <c r="D23" s="22" t="s">
        <v>369</v>
      </c>
      <c r="E23" s="22" t="s">
        <v>370</v>
      </c>
      <c r="F23" s="22" t="s">
        <v>371</v>
      </c>
      <c r="G23" s="22" t="s">
        <v>372</v>
      </c>
      <c r="H23" s="22" t="s">
        <v>373</v>
      </c>
      <c r="I23" s="24" t="s">
        <v>324</v>
      </c>
      <c r="J23" s="22" t="s">
        <v>374</v>
      </c>
      <c r="K23" s="19" t="s">
        <v>189</v>
      </c>
      <c r="L23" s="22"/>
    </row>
    <row r="24" ht="39.75" customHeight="1">
      <c r="A24" s="29" t="s">
        <v>350</v>
      </c>
      <c r="B24" s="30" t="s">
        <v>375</v>
      </c>
      <c r="C24" s="31" t="s">
        <v>376</v>
      </c>
      <c r="D24" s="32" t="s">
        <v>377</v>
      </c>
      <c r="E24" s="32" t="s">
        <v>378</v>
      </c>
      <c r="F24" s="32" t="s">
        <v>379</v>
      </c>
      <c r="G24" s="32" t="s">
        <v>380</v>
      </c>
      <c r="H24" s="32" t="s">
        <v>381</v>
      </c>
      <c r="I24" s="33" t="s">
        <v>324</v>
      </c>
      <c r="J24" s="32" t="s">
        <v>382</v>
      </c>
      <c r="K24" s="29" t="s">
        <v>189</v>
      </c>
      <c r="L24" s="32"/>
    </row>
    <row r="25" ht="39.75" customHeight="1">
      <c r="A25" s="19" t="s">
        <v>383</v>
      </c>
      <c r="B25" s="20" t="s">
        <v>384</v>
      </c>
      <c r="C25" s="21" t="s">
        <v>385</v>
      </c>
      <c r="D25" s="22" t="s">
        <v>386</v>
      </c>
      <c r="E25" s="22" t="s">
        <v>387</v>
      </c>
      <c r="F25" s="22" t="s">
        <v>388</v>
      </c>
      <c r="G25" s="22" t="s">
        <v>389</v>
      </c>
      <c r="H25" s="22" t="s">
        <v>390</v>
      </c>
      <c r="I25" s="24" t="s">
        <v>391</v>
      </c>
      <c r="J25" s="22" t="s">
        <v>392</v>
      </c>
      <c r="K25" s="19" t="s">
        <v>189</v>
      </c>
      <c r="L25" s="22"/>
    </row>
    <row r="26" ht="39.75" customHeight="1">
      <c r="A26" s="29" t="s">
        <v>383</v>
      </c>
      <c r="B26" s="30" t="s">
        <v>393</v>
      </c>
      <c r="C26" s="31" t="s">
        <v>394</v>
      </c>
      <c r="D26" s="32" t="s">
        <v>395</v>
      </c>
      <c r="E26" s="32" t="s">
        <v>396</v>
      </c>
      <c r="F26" s="32" t="s">
        <v>397</v>
      </c>
      <c r="G26" s="32" t="s">
        <v>398</v>
      </c>
      <c r="H26" s="32" t="s">
        <v>399</v>
      </c>
      <c r="I26" s="33" t="s">
        <v>391</v>
      </c>
      <c r="J26" s="32" t="s">
        <v>400</v>
      </c>
      <c r="K26" s="29" t="s">
        <v>189</v>
      </c>
      <c r="L26" s="32"/>
    </row>
    <row r="27" ht="39.75" customHeight="1">
      <c r="A27" s="19" t="s">
        <v>383</v>
      </c>
      <c r="B27" s="20" t="s">
        <v>401</v>
      </c>
      <c r="C27" s="21" t="s">
        <v>402</v>
      </c>
      <c r="D27" s="22" t="s">
        <v>403</v>
      </c>
      <c r="E27" s="22" t="s">
        <v>404</v>
      </c>
      <c r="F27" s="22" t="s">
        <v>405</v>
      </c>
      <c r="G27" s="22" t="s">
        <v>406</v>
      </c>
      <c r="H27" s="22" t="s">
        <v>407</v>
      </c>
      <c r="I27" s="24" t="s">
        <v>391</v>
      </c>
      <c r="J27" s="22" t="s">
        <v>408</v>
      </c>
      <c r="K27" s="19" t="s">
        <v>189</v>
      </c>
      <c r="L27" s="22"/>
    </row>
    <row r="28" ht="39.75" customHeight="1">
      <c r="A28" s="29" t="s">
        <v>383</v>
      </c>
      <c r="B28" s="30" t="s">
        <v>409</v>
      </c>
      <c r="C28" s="31" t="s">
        <v>410</v>
      </c>
      <c r="D28" s="32" t="s">
        <v>411</v>
      </c>
      <c r="E28" s="32" t="s">
        <v>412</v>
      </c>
      <c r="F28" s="32" t="s">
        <v>413</v>
      </c>
      <c r="G28" s="32" t="s">
        <v>414</v>
      </c>
      <c r="H28" s="32" t="s">
        <v>415</v>
      </c>
      <c r="I28" s="33" t="s">
        <v>391</v>
      </c>
      <c r="J28" s="32" t="s">
        <v>416</v>
      </c>
      <c r="K28" s="29" t="s">
        <v>189</v>
      </c>
      <c r="L28" s="32"/>
    </row>
    <row r="29" ht="39.75" customHeight="1">
      <c r="A29" s="19" t="s">
        <v>383</v>
      </c>
      <c r="B29" s="20" t="s">
        <v>417</v>
      </c>
      <c r="C29" s="21" t="s">
        <v>418</v>
      </c>
      <c r="D29" s="22" t="s">
        <v>419</v>
      </c>
      <c r="E29" s="22" t="s">
        <v>420</v>
      </c>
      <c r="F29" s="22" t="s">
        <v>421</v>
      </c>
      <c r="G29" s="22" t="s">
        <v>422</v>
      </c>
      <c r="H29" s="22" t="s">
        <v>423</v>
      </c>
      <c r="I29" s="24" t="s">
        <v>391</v>
      </c>
      <c r="J29" s="22" t="s">
        <v>424</v>
      </c>
      <c r="K29" s="19" t="s">
        <v>189</v>
      </c>
      <c r="L29" s="22"/>
    </row>
    <row r="30" ht="39.75" customHeight="1">
      <c r="A30" s="38" t="s">
        <v>383</v>
      </c>
      <c r="B30" s="39" t="s">
        <v>425</v>
      </c>
      <c r="C30" s="40" t="s">
        <v>426</v>
      </c>
      <c r="D30" s="40" t="s">
        <v>427</v>
      </c>
      <c r="E30" s="40" t="s">
        <v>428</v>
      </c>
      <c r="F30" s="40" t="s">
        <v>429</v>
      </c>
      <c r="G30" s="40" t="s">
        <v>430</v>
      </c>
      <c r="H30" s="40" t="s">
        <v>431</v>
      </c>
      <c r="I30" s="39" t="s">
        <v>432</v>
      </c>
      <c r="J30" s="40" t="s">
        <v>433</v>
      </c>
      <c r="K30" s="38" t="s">
        <v>189</v>
      </c>
      <c r="L30" s="40"/>
    </row>
    <row r="31" ht="39.75" customHeight="1">
      <c r="A31" s="19" t="s">
        <v>434</v>
      </c>
      <c r="B31" s="20" t="s">
        <v>435</v>
      </c>
      <c r="C31" s="21" t="s">
        <v>436</v>
      </c>
      <c r="D31" s="22" t="s">
        <v>437</v>
      </c>
      <c r="E31" s="22" t="s">
        <v>438</v>
      </c>
      <c r="F31" s="22" t="s">
        <v>439</v>
      </c>
      <c r="G31" s="22" t="s">
        <v>440</v>
      </c>
      <c r="H31" s="22" t="s">
        <v>441</v>
      </c>
      <c r="I31" s="24" t="s">
        <v>391</v>
      </c>
      <c r="J31" s="22" t="s">
        <v>442</v>
      </c>
      <c r="K31" s="19" t="s">
        <v>189</v>
      </c>
      <c r="L31" s="22"/>
    </row>
    <row r="32" ht="39.75" customHeight="1">
      <c r="A32" s="29" t="s">
        <v>434</v>
      </c>
      <c r="B32" s="30" t="s">
        <v>443</v>
      </c>
      <c r="C32" s="31" t="s">
        <v>444</v>
      </c>
      <c r="D32" s="32" t="s">
        <v>445</v>
      </c>
      <c r="E32" s="32" t="s">
        <v>446</v>
      </c>
      <c r="F32" s="32" t="s">
        <v>447</v>
      </c>
      <c r="G32" s="32" t="s">
        <v>448</v>
      </c>
      <c r="H32" s="32" t="s">
        <v>449</v>
      </c>
      <c r="I32" s="33" t="s">
        <v>391</v>
      </c>
      <c r="J32" s="32" t="s">
        <v>450</v>
      </c>
      <c r="K32" s="29" t="s">
        <v>189</v>
      </c>
      <c r="L32" s="32"/>
    </row>
    <row r="33" ht="39.75" customHeight="1">
      <c r="A33" s="19" t="s">
        <v>434</v>
      </c>
      <c r="B33" s="20" t="s">
        <v>451</v>
      </c>
      <c r="C33" s="21" t="s">
        <v>452</v>
      </c>
      <c r="D33" s="22" t="s">
        <v>453</v>
      </c>
      <c r="E33" s="22" t="s">
        <v>454</v>
      </c>
      <c r="F33" s="22" t="s">
        <v>455</v>
      </c>
      <c r="G33" s="22" t="s">
        <v>456</v>
      </c>
      <c r="H33" s="22" t="s">
        <v>457</v>
      </c>
      <c r="I33" s="24" t="s">
        <v>391</v>
      </c>
      <c r="J33" s="22" t="s">
        <v>458</v>
      </c>
      <c r="K33" s="19" t="s">
        <v>189</v>
      </c>
      <c r="L33" s="22"/>
    </row>
    <row r="34" ht="39.75" customHeight="1">
      <c r="A34" s="29" t="s">
        <v>434</v>
      </c>
      <c r="B34" s="30" t="s">
        <v>459</v>
      </c>
      <c r="C34" s="31" t="s">
        <v>460</v>
      </c>
      <c r="D34" s="32" t="s">
        <v>461</v>
      </c>
      <c r="E34" s="32" t="s">
        <v>462</v>
      </c>
      <c r="F34" s="32" t="s">
        <v>463</v>
      </c>
      <c r="G34" s="32" t="s">
        <v>464</v>
      </c>
      <c r="H34" s="32" t="s">
        <v>465</v>
      </c>
      <c r="I34" s="33" t="s">
        <v>391</v>
      </c>
      <c r="J34" s="32" t="s">
        <v>466</v>
      </c>
      <c r="K34" s="29" t="s">
        <v>189</v>
      </c>
      <c r="L34" s="32"/>
    </row>
    <row r="35" ht="39.75" customHeight="1">
      <c r="A35" s="19" t="s">
        <v>467</v>
      </c>
      <c r="B35" s="20" t="s">
        <v>468</v>
      </c>
      <c r="C35" s="21" t="s">
        <v>469</v>
      </c>
      <c r="D35" s="22" t="s">
        <v>470</v>
      </c>
      <c r="E35" s="22" t="s">
        <v>471</v>
      </c>
      <c r="F35" s="22" t="s">
        <v>472</v>
      </c>
      <c r="G35" s="22" t="s">
        <v>473</v>
      </c>
      <c r="H35" s="22" t="s">
        <v>474</v>
      </c>
      <c r="I35" s="24" t="s">
        <v>391</v>
      </c>
      <c r="J35" s="22" t="s">
        <v>475</v>
      </c>
      <c r="K35" s="19" t="s">
        <v>189</v>
      </c>
      <c r="L35" s="22"/>
    </row>
    <row r="36" ht="39.75" customHeight="1">
      <c r="A36" s="29" t="s">
        <v>467</v>
      </c>
      <c r="B36" s="30" t="s">
        <v>476</v>
      </c>
      <c r="C36" s="31" t="s">
        <v>477</v>
      </c>
      <c r="D36" s="32" t="s">
        <v>478</v>
      </c>
      <c r="E36" s="32" t="s">
        <v>479</v>
      </c>
      <c r="F36" s="32" t="s">
        <v>480</v>
      </c>
      <c r="G36" s="32" t="s">
        <v>481</v>
      </c>
      <c r="H36" s="32" t="s">
        <v>482</v>
      </c>
      <c r="I36" s="33" t="s">
        <v>391</v>
      </c>
      <c r="J36" s="32" t="s">
        <v>483</v>
      </c>
      <c r="K36" s="29" t="s">
        <v>189</v>
      </c>
      <c r="L36" s="32"/>
    </row>
    <row r="37" ht="39.75" customHeight="1">
      <c r="A37" s="19" t="s">
        <v>467</v>
      </c>
      <c r="B37" s="20" t="s">
        <v>484</v>
      </c>
      <c r="C37" s="21" t="s">
        <v>485</v>
      </c>
      <c r="D37" s="22" t="s">
        <v>486</v>
      </c>
      <c r="E37" s="22" t="s">
        <v>487</v>
      </c>
      <c r="F37" s="22" t="s">
        <v>488</v>
      </c>
      <c r="G37" s="22" t="s">
        <v>489</v>
      </c>
      <c r="H37" s="22" t="s">
        <v>490</v>
      </c>
      <c r="I37" s="24" t="s">
        <v>391</v>
      </c>
      <c r="J37" s="22" t="s">
        <v>491</v>
      </c>
      <c r="K37" s="19" t="s">
        <v>189</v>
      </c>
      <c r="L37" s="22"/>
    </row>
    <row r="38" ht="39.75" customHeight="1">
      <c r="A38" s="29" t="s">
        <v>467</v>
      </c>
      <c r="B38" s="30" t="s">
        <v>492</v>
      </c>
      <c r="C38" s="31" t="s">
        <v>493</v>
      </c>
      <c r="D38" s="32" t="s">
        <v>494</v>
      </c>
      <c r="E38" s="32" t="s">
        <v>495</v>
      </c>
      <c r="F38" s="32" t="s">
        <v>496</v>
      </c>
      <c r="G38" s="32" t="s">
        <v>497</v>
      </c>
      <c r="H38" s="32" t="s">
        <v>498</v>
      </c>
      <c r="I38" s="33" t="s">
        <v>391</v>
      </c>
      <c r="J38" s="32" t="s">
        <v>499</v>
      </c>
      <c r="K38" s="29" t="s">
        <v>189</v>
      </c>
      <c r="L38" s="32"/>
    </row>
    <row r="39" ht="39.75" customHeight="1">
      <c r="A39" s="19" t="s">
        <v>500</v>
      </c>
      <c r="B39" s="20" t="s">
        <v>501</v>
      </c>
      <c r="C39" s="21" t="s">
        <v>502</v>
      </c>
      <c r="D39" s="22" t="s">
        <v>503</v>
      </c>
      <c r="E39" s="22" t="s">
        <v>504</v>
      </c>
      <c r="F39" s="22" t="s">
        <v>505</v>
      </c>
      <c r="G39" s="22" t="s">
        <v>506</v>
      </c>
      <c r="H39" s="22" t="s">
        <v>507</v>
      </c>
      <c r="I39" s="24" t="s">
        <v>391</v>
      </c>
      <c r="J39" s="22" t="s">
        <v>508</v>
      </c>
      <c r="K39" s="19" t="s">
        <v>189</v>
      </c>
      <c r="L39" s="22"/>
    </row>
    <row r="40" ht="39.75" customHeight="1">
      <c r="A40" s="29" t="s">
        <v>500</v>
      </c>
      <c r="B40" s="30" t="s">
        <v>509</v>
      </c>
      <c r="C40" s="31" t="s">
        <v>510</v>
      </c>
      <c r="D40" s="32" t="s">
        <v>511</v>
      </c>
      <c r="E40" s="32" t="s">
        <v>512</v>
      </c>
      <c r="F40" s="32" t="s">
        <v>513</v>
      </c>
      <c r="G40" s="32" t="s">
        <v>514</v>
      </c>
      <c r="H40" s="32" t="s">
        <v>515</v>
      </c>
      <c r="I40" s="33" t="s">
        <v>391</v>
      </c>
      <c r="J40" s="32" t="s">
        <v>516</v>
      </c>
      <c r="K40" s="29" t="s">
        <v>189</v>
      </c>
      <c r="L40" s="32"/>
    </row>
    <row r="41" ht="39.75" customHeight="1">
      <c r="A41" s="19" t="s">
        <v>500</v>
      </c>
      <c r="B41" s="20" t="s">
        <v>517</v>
      </c>
      <c r="C41" s="21" t="s">
        <v>518</v>
      </c>
      <c r="D41" s="22" t="s">
        <v>519</v>
      </c>
      <c r="E41" s="22" t="s">
        <v>520</v>
      </c>
      <c r="F41" s="22" t="s">
        <v>521</v>
      </c>
      <c r="G41" s="22" t="s">
        <v>522</v>
      </c>
      <c r="H41" s="22" t="s">
        <v>391</v>
      </c>
      <c r="I41" s="24" t="s">
        <v>523</v>
      </c>
      <c r="J41" s="22" t="s">
        <v>189</v>
      </c>
      <c r="K41" s="19"/>
    </row>
    <row r="42" ht="39.75" customHeight="1">
      <c r="A42" s="29" t="s">
        <v>500</v>
      </c>
      <c r="B42" s="30" t="s">
        <v>524</v>
      </c>
      <c r="C42" s="31" t="s">
        <v>525</v>
      </c>
      <c r="D42" s="32" t="s">
        <v>526</v>
      </c>
      <c r="E42" s="32" t="s">
        <v>527</v>
      </c>
      <c r="F42" s="32" t="s">
        <v>528</v>
      </c>
      <c r="G42" s="32" t="s">
        <v>529</v>
      </c>
      <c r="H42" s="32" t="s">
        <v>391</v>
      </c>
      <c r="I42" s="33" t="s">
        <v>530</v>
      </c>
      <c r="J42" s="32" t="s">
        <v>189</v>
      </c>
      <c r="K42" s="29"/>
    </row>
    <row r="43" ht="39.75" customHeight="1">
      <c r="A43" s="38" t="s">
        <v>500</v>
      </c>
      <c r="B43" s="39" t="s">
        <v>531</v>
      </c>
      <c r="C43" s="40" t="s">
        <v>532</v>
      </c>
      <c r="D43" s="40" t="s">
        <v>533</v>
      </c>
      <c r="E43" s="40" t="s">
        <v>534</v>
      </c>
      <c r="F43" s="40" t="s">
        <v>535</v>
      </c>
      <c r="G43" s="40" t="s">
        <v>536</v>
      </c>
      <c r="H43" s="40" t="s">
        <v>537</v>
      </c>
      <c r="I43" s="39" t="s">
        <v>432</v>
      </c>
      <c r="J43" s="40" t="s">
        <v>538</v>
      </c>
      <c r="K43" s="38" t="s">
        <v>189</v>
      </c>
      <c r="L43" s="40"/>
    </row>
    <row r="44" ht="39.75" customHeight="1">
      <c r="A44" s="29" t="s">
        <v>539</v>
      </c>
      <c r="B44" s="30" t="s">
        <v>540</v>
      </c>
      <c r="C44" s="31" t="s">
        <v>541</v>
      </c>
      <c r="D44" s="32" t="s">
        <v>542</v>
      </c>
      <c r="E44" s="32" t="s">
        <v>543</v>
      </c>
      <c r="F44" s="32" t="s">
        <v>544</v>
      </c>
      <c r="G44" s="32" t="s">
        <v>545</v>
      </c>
      <c r="H44" s="32" t="s">
        <v>546</v>
      </c>
      <c r="I44" s="33" t="s">
        <v>391</v>
      </c>
      <c r="J44" s="32" t="s">
        <v>547</v>
      </c>
      <c r="K44" s="29" t="s">
        <v>189</v>
      </c>
      <c r="L44" s="32"/>
    </row>
    <row r="45" ht="39.75" customHeight="1">
      <c r="A45" s="19" t="s">
        <v>539</v>
      </c>
      <c r="B45" s="20" t="s">
        <v>548</v>
      </c>
      <c r="C45" s="21" t="s">
        <v>549</v>
      </c>
      <c r="D45" s="22" t="s">
        <v>550</v>
      </c>
      <c r="E45" s="22" t="s">
        <v>551</v>
      </c>
      <c r="F45" s="22" t="s">
        <v>552</v>
      </c>
      <c r="G45" s="22" t="s">
        <v>553</v>
      </c>
      <c r="H45" s="22" t="s">
        <v>554</v>
      </c>
      <c r="I45" s="24" t="s">
        <v>391</v>
      </c>
      <c r="J45" s="22" t="s">
        <v>555</v>
      </c>
      <c r="K45" s="19" t="s">
        <v>189</v>
      </c>
      <c r="L45" s="22"/>
    </row>
    <row r="46" ht="39.75" customHeight="1">
      <c r="A46" s="29" t="s">
        <v>539</v>
      </c>
      <c r="B46" s="30" t="s">
        <v>556</v>
      </c>
      <c r="C46" s="31" t="s">
        <v>557</v>
      </c>
      <c r="D46" s="32" t="s">
        <v>558</v>
      </c>
      <c r="E46" s="32" t="s">
        <v>559</v>
      </c>
      <c r="F46" s="32" t="s">
        <v>560</v>
      </c>
      <c r="G46" s="32" t="s">
        <v>561</v>
      </c>
      <c r="H46" s="32" t="s">
        <v>562</v>
      </c>
      <c r="I46" s="33" t="s">
        <v>391</v>
      </c>
      <c r="J46" s="32" t="s">
        <v>563</v>
      </c>
      <c r="K46" s="29" t="s">
        <v>189</v>
      </c>
      <c r="L46" s="32"/>
    </row>
    <row r="47" ht="39.75" customHeight="1">
      <c r="A47" s="19" t="s">
        <v>539</v>
      </c>
      <c r="B47" s="20" t="s">
        <v>564</v>
      </c>
      <c r="C47" s="21" t="s">
        <v>565</v>
      </c>
      <c r="D47" s="22" t="s">
        <v>566</v>
      </c>
      <c r="E47" s="22" t="s">
        <v>567</v>
      </c>
      <c r="F47" s="22" t="s">
        <v>568</v>
      </c>
      <c r="G47" s="22" t="s">
        <v>569</v>
      </c>
      <c r="H47" s="22" t="s">
        <v>570</v>
      </c>
      <c r="I47" s="24" t="s">
        <v>391</v>
      </c>
      <c r="J47" s="22" t="s">
        <v>571</v>
      </c>
      <c r="K47" s="19" t="s">
        <v>189</v>
      </c>
      <c r="L47" s="22"/>
    </row>
    <row r="48" ht="39.75" customHeight="1">
      <c r="A48" s="29" t="s">
        <v>572</v>
      </c>
      <c r="B48" s="30" t="s">
        <v>573</v>
      </c>
      <c r="C48" s="31" t="s">
        <v>574</v>
      </c>
      <c r="D48" s="32" t="s">
        <v>575</v>
      </c>
      <c r="E48" s="32" t="s">
        <v>576</v>
      </c>
      <c r="F48" s="32" t="s">
        <v>577</v>
      </c>
      <c r="G48" s="32" t="s">
        <v>578</v>
      </c>
      <c r="H48" s="32" t="s">
        <v>579</v>
      </c>
      <c r="I48" s="33" t="s">
        <v>391</v>
      </c>
      <c r="J48" s="32" t="s">
        <v>580</v>
      </c>
      <c r="K48" s="29" t="s">
        <v>189</v>
      </c>
      <c r="L48" s="32"/>
    </row>
    <row r="49" ht="39.75" customHeight="1">
      <c r="A49" s="19" t="s">
        <v>572</v>
      </c>
      <c r="B49" s="20" t="s">
        <v>581</v>
      </c>
      <c r="C49" s="21" t="s">
        <v>582</v>
      </c>
      <c r="D49" s="22" t="s">
        <v>583</v>
      </c>
      <c r="E49" s="22" t="s">
        <v>584</v>
      </c>
      <c r="F49" s="22" t="s">
        <v>585</v>
      </c>
      <c r="G49" s="22" t="s">
        <v>586</v>
      </c>
      <c r="H49" s="22" t="s">
        <v>587</v>
      </c>
      <c r="I49" s="24" t="s">
        <v>391</v>
      </c>
      <c r="J49" s="22" t="s">
        <v>588</v>
      </c>
      <c r="K49" s="19" t="s">
        <v>189</v>
      </c>
      <c r="L49" s="22"/>
    </row>
    <row r="50" ht="39.75" customHeight="1">
      <c r="A50" s="29" t="s">
        <v>572</v>
      </c>
      <c r="B50" s="30" t="s">
        <v>589</v>
      </c>
      <c r="C50" s="31" t="s">
        <v>590</v>
      </c>
      <c r="D50" s="32" t="s">
        <v>591</v>
      </c>
      <c r="E50" s="32" t="s">
        <v>592</v>
      </c>
      <c r="F50" s="32" t="s">
        <v>593</v>
      </c>
      <c r="G50" s="32" t="s">
        <v>594</v>
      </c>
      <c r="H50" s="32" t="s">
        <v>391</v>
      </c>
      <c r="I50" s="33" t="s">
        <v>595</v>
      </c>
      <c r="J50" s="32" t="s">
        <v>189</v>
      </c>
      <c r="K50" s="29"/>
    </row>
    <row r="51" ht="39.75" customHeight="1">
      <c r="A51" s="19" t="s">
        <v>572</v>
      </c>
      <c r="B51" s="20" t="s">
        <v>596</v>
      </c>
      <c r="C51" s="21" t="s">
        <v>597</v>
      </c>
      <c r="D51" s="22" t="s">
        <v>598</v>
      </c>
      <c r="E51" s="22" t="s">
        <v>599</v>
      </c>
      <c r="F51" s="22" t="s">
        <v>600</v>
      </c>
      <c r="G51" s="22" t="s">
        <v>601</v>
      </c>
      <c r="H51" s="22" t="s">
        <v>391</v>
      </c>
      <c r="I51" s="24" t="s">
        <v>602</v>
      </c>
      <c r="J51" s="22" t="s">
        <v>189</v>
      </c>
      <c r="K51" s="19"/>
    </row>
    <row r="52" ht="39.75" customHeight="1">
      <c r="A52" s="29" t="s">
        <v>603</v>
      </c>
      <c r="B52" s="30" t="s">
        <v>604</v>
      </c>
      <c r="C52" s="31" t="s">
        <v>605</v>
      </c>
      <c r="D52" s="32" t="s">
        <v>606</v>
      </c>
      <c r="E52" s="32" t="s">
        <v>607</v>
      </c>
      <c r="F52" s="32" t="s">
        <v>608</v>
      </c>
      <c r="G52" s="32" t="s">
        <v>609</v>
      </c>
      <c r="H52" s="32" t="s">
        <v>391</v>
      </c>
      <c r="I52" s="33" t="s">
        <v>610</v>
      </c>
      <c r="J52" s="32" t="s">
        <v>189</v>
      </c>
      <c r="K52" s="29"/>
    </row>
    <row r="53" ht="39.75" customHeight="1">
      <c r="A53" s="19" t="s">
        <v>603</v>
      </c>
      <c r="B53" s="20" t="s">
        <v>611</v>
      </c>
      <c r="C53" s="21" t="s">
        <v>612</v>
      </c>
      <c r="D53" s="22" t="s">
        <v>613</v>
      </c>
      <c r="E53" s="22" t="s">
        <v>614</v>
      </c>
      <c r="F53" s="22" t="s">
        <v>615</v>
      </c>
      <c r="G53" s="22" t="s">
        <v>616</v>
      </c>
      <c r="H53" s="22" t="s">
        <v>314</v>
      </c>
      <c r="I53" s="24" t="s">
        <v>617</v>
      </c>
      <c r="J53" s="22" t="s">
        <v>189</v>
      </c>
      <c r="K53" s="19"/>
    </row>
    <row r="54" ht="39.75" customHeight="1">
      <c r="A54" s="29" t="s">
        <v>603</v>
      </c>
      <c r="B54" s="30" t="s">
        <v>618</v>
      </c>
      <c r="C54" s="31" t="s">
        <v>619</v>
      </c>
      <c r="D54" s="32" t="s">
        <v>620</v>
      </c>
      <c r="E54" s="32" t="s">
        <v>621</v>
      </c>
      <c r="F54" s="32" t="s">
        <v>622</v>
      </c>
      <c r="G54" s="32" t="s">
        <v>623</v>
      </c>
      <c r="H54" s="32" t="s">
        <v>162</v>
      </c>
      <c r="I54" s="33" t="s">
        <v>624</v>
      </c>
      <c r="J54" s="32" t="s">
        <v>189</v>
      </c>
      <c r="K54" s="29"/>
    </row>
    <row r="55" ht="39.75" customHeight="1">
      <c r="A55" s="38" t="s">
        <v>603</v>
      </c>
      <c r="B55" s="39" t="s">
        <v>625</v>
      </c>
      <c r="C55" s="40" t="s">
        <v>626</v>
      </c>
      <c r="D55" s="40" t="s">
        <v>627</v>
      </c>
      <c r="E55" s="40" t="s">
        <v>628</v>
      </c>
      <c r="F55" s="40" t="s">
        <v>629</v>
      </c>
      <c r="G55" s="40" t="s">
        <v>630</v>
      </c>
      <c r="H55" s="40" t="s">
        <v>631</v>
      </c>
      <c r="I55" s="39" t="s">
        <v>632</v>
      </c>
      <c r="J55" s="40" t="s">
        <v>189</v>
      </c>
      <c r="K55" s="38"/>
    </row>
    <row r="56" ht="39.75" customHeight="1">
      <c r="A56" s="38" t="s">
        <v>603</v>
      </c>
      <c r="B56" s="39" t="s">
        <v>633</v>
      </c>
      <c r="C56" s="40" t="s">
        <v>634</v>
      </c>
      <c r="D56" s="40" t="s">
        <v>635</v>
      </c>
      <c r="E56" s="40" t="s">
        <v>636</v>
      </c>
      <c r="F56" s="40" t="s">
        <v>637</v>
      </c>
      <c r="G56" s="40" t="s">
        <v>638</v>
      </c>
      <c r="H56" s="40" t="s">
        <v>639</v>
      </c>
      <c r="I56" s="39" t="s">
        <v>640</v>
      </c>
      <c r="J56" s="40" t="s">
        <v>189</v>
      </c>
      <c r="K56" s="3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A5:L56">
    <cfRule type="expression" dxfId="5" priority="1" stopIfTrue="1">
      <formula>$K5="Hoàn thành"</formula>
    </cfRule>
  </conditionalFormatting>
  <conditionalFormatting sqref="A5:L56">
    <cfRule type="expression" dxfId="6" priority="2" stopIfTrue="1">
      <formula>$K5="Đang học"</formula>
    </cfRule>
  </conditionalFormatting>
  <dataValidations>
    <dataValidation type="list" allowBlank="1" showErrorMessage="1" sqref="A5:A56">
      <formula1>"Tháng 1,Tháng 2,Tháng 3,Tháng 4,Tháng 5,Tháng 6,Tháng 7,Tháng 8,Tháng 9,Tháng 10,Tháng 11,Tháng 12"</formula1>
    </dataValidation>
    <dataValidation type="list" allowBlank="1" showErrorMessage="1" sqref="K5:K56">
      <formula1>"Hoàn thành,Đang học,Chưa học"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36.0"/>
    <col customWidth="1" min="3" max="3" width="24.0"/>
    <col customWidth="1" min="4" max="4" width="45.0"/>
    <col customWidth="1" min="5" max="5" width="25.0"/>
    <col customWidth="1" min="6" max="6" width="16.0"/>
    <col customWidth="1" min="7" max="7" width="18.0"/>
    <col customWidth="1" min="8" max="26" width="8.71"/>
  </cols>
  <sheetData>
    <row r="1" ht="27.75" customHeight="1">
      <c r="A1" s="1" t="s">
        <v>1</v>
      </c>
    </row>
    <row r="3" ht="24.75" customHeight="1">
      <c r="A3" s="4" t="s">
        <v>4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</row>
    <row r="4" ht="24.0" customHeight="1">
      <c r="A4" s="6" t="s">
        <v>13</v>
      </c>
      <c r="B4" s="7" t="s">
        <v>17</v>
      </c>
      <c r="C4" s="8" t="s">
        <v>18</v>
      </c>
      <c r="D4" s="9" t="s">
        <v>19</v>
      </c>
      <c r="E4" s="9" t="s">
        <v>20</v>
      </c>
      <c r="F4" s="6" t="s">
        <v>21</v>
      </c>
      <c r="G4" s="8" t="s">
        <v>22</v>
      </c>
    </row>
    <row r="5" ht="24.0" customHeight="1">
      <c r="A5" s="10" t="s">
        <v>13</v>
      </c>
      <c r="B5" s="11" t="s">
        <v>23</v>
      </c>
      <c r="C5" s="12" t="s">
        <v>24</v>
      </c>
      <c r="D5" s="13" t="s">
        <v>26</v>
      </c>
      <c r="E5" s="13" t="s">
        <v>27</v>
      </c>
      <c r="F5" s="10" t="s">
        <v>21</v>
      </c>
      <c r="G5" s="12" t="s">
        <v>22</v>
      </c>
    </row>
    <row r="6" ht="24.0" customHeight="1">
      <c r="A6" s="6" t="s">
        <v>13</v>
      </c>
      <c r="B6" s="7" t="s">
        <v>28</v>
      </c>
      <c r="C6" s="8" t="s">
        <v>29</v>
      </c>
      <c r="D6" s="9" t="s">
        <v>30</v>
      </c>
      <c r="E6" s="9" t="s">
        <v>27</v>
      </c>
      <c r="F6" s="6" t="s">
        <v>21</v>
      </c>
      <c r="G6" s="8" t="s">
        <v>22</v>
      </c>
    </row>
    <row r="7" ht="24.0" customHeight="1">
      <c r="A7" s="10" t="s">
        <v>13</v>
      </c>
      <c r="B7" s="11" t="s">
        <v>31</v>
      </c>
      <c r="C7" s="12" t="s">
        <v>32</v>
      </c>
      <c r="D7" s="13" t="s">
        <v>33</v>
      </c>
      <c r="E7" s="13" t="s">
        <v>34</v>
      </c>
      <c r="F7" s="10" t="s">
        <v>36</v>
      </c>
      <c r="G7" s="12" t="s">
        <v>37</v>
      </c>
    </row>
    <row r="8" ht="24.0" customHeight="1">
      <c r="A8" s="6" t="s">
        <v>38</v>
      </c>
      <c r="B8" s="7" t="s">
        <v>39</v>
      </c>
      <c r="C8" s="8" t="s">
        <v>40</v>
      </c>
      <c r="D8" s="9" t="s">
        <v>41</v>
      </c>
      <c r="E8" s="9" t="s">
        <v>42</v>
      </c>
      <c r="F8" s="6" t="s">
        <v>21</v>
      </c>
      <c r="G8" s="8" t="s">
        <v>22</v>
      </c>
    </row>
    <row r="9" ht="24.0" customHeight="1">
      <c r="A9" s="10" t="s">
        <v>38</v>
      </c>
      <c r="B9" s="11" t="s">
        <v>43</v>
      </c>
      <c r="C9" s="12" t="s">
        <v>44</v>
      </c>
      <c r="D9" s="13" t="s">
        <v>45</v>
      </c>
      <c r="E9" s="13" t="s">
        <v>46</v>
      </c>
      <c r="F9" s="10" t="s">
        <v>36</v>
      </c>
      <c r="G9" s="12" t="s">
        <v>22</v>
      </c>
    </row>
    <row r="10" ht="24.0" customHeight="1">
      <c r="A10" s="6" t="s">
        <v>38</v>
      </c>
      <c r="B10" s="7" t="s">
        <v>47</v>
      </c>
      <c r="C10" s="8" t="s">
        <v>48</v>
      </c>
      <c r="D10" s="9" t="s">
        <v>49</v>
      </c>
      <c r="E10" s="9" t="s">
        <v>50</v>
      </c>
      <c r="F10" s="6" t="s">
        <v>52</v>
      </c>
      <c r="G10" s="8" t="s">
        <v>22</v>
      </c>
    </row>
    <row r="11" ht="24.0" customHeight="1">
      <c r="A11" s="10" t="s">
        <v>53</v>
      </c>
      <c r="B11" s="11" t="s">
        <v>55</v>
      </c>
      <c r="C11" s="12" t="s">
        <v>56</v>
      </c>
      <c r="D11" s="13" t="s">
        <v>57</v>
      </c>
      <c r="E11" s="13" t="s">
        <v>58</v>
      </c>
      <c r="F11" s="10" t="s">
        <v>21</v>
      </c>
      <c r="G11" s="12" t="s">
        <v>22</v>
      </c>
    </row>
    <row r="12" ht="24.0" customHeight="1">
      <c r="A12" s="6" t="s">
        <v>53</v>
      </c>
      <c r="B12" s="7" t="s">
        <v>60</v>
      </c>
      <c r="C12" s="8" t="s">
        <v>61</v>
      </c>
      <c r="D12" s="9" t="s">
        <v>62</v>
      </c>
      <c r="E12" s="9" t="s">
        <v>46</v>
      </c>
      <c r="F12" s="6" t="s">
        <v>21</v>
      </c>
      <c r="G12" s="8" t="s">
        <v>22</v>
      </c>
    </row>
    <row r="13" ht="24.0" customHeight="1">
      <c r="A13" s="10" t="s">
        <v>53</v>
      </c>
      <c r="B13" s="11" t="s">
        <v>65</v>
      </c>
      <c r="C13" s="12" t="s">
        <v>66</v>
      </c>
      <c r="D13" s="13" t="s">
        <v>67</v>
      </c>
      <c r="E13" s="13" t="s">
        <v>58</v>
      </c>
      <c r="F13" s="10" t="s">
        <v>21</v>
      </c>
      <c r="G13" s="12" t="s">
        <v>22</v>
      </c>
    </row>
    <row r="14" ht="24.0" customHeight="1">
      <c r="A14" s="6" t="s">
        <v>68</v>
      </c>
      <c r="B14" s="7" t="s">
        <v>69</v>
      </c>
      <c r="C14" s="8" t="s">
        <v>70</v>
      </c>
      <c r="D14" s="9" t="s">
        <v>71</v>
      </c>
      <c r="E14" s="9" t="s">
        <v>58</v>
      </c>
      <c r="F14" s="6" t="s">
        <v>21</v>
      </c>
      <c r="G14" s="8" t="s">
        <v>22</v>
      </c>
    </row>
    <row r="15" ht="24.0" customHeight="1">
      <c r="A15" s="10" t="s">
        <v>68</v>
      </c>
      <c r="B15" s="11" t="s">
        <v>72</v>
      </c>
      <c r="C15" s="12" t="s">
        <v>73</v>
      </c>
      <c r="D15" s="13" t="s">
        <v>74</v>
      </c>
      <c r="E15" s="13" t="s">
        <v>58</v>
      </c>
      <c r="F15" s="10" t="s">
        <v>36</v>
      </c>
      <c r="G15" s="12" t="s">
        <v>22</v>
      </c>
    </row>
    <row r="16" ht="24.0" customHeight="1">
      <c r="A16" s="6" t="s">
        <v>68</v>
      </c>
      <c r="B16" s="7" t="s">
        <v>75</v>
      </c>
      <c r="C16" s="8" t="s">
        <v>76</v>
      </c>
      <c r="D16" s="9" t="s">
        <v>77</v>
      </c>
      <c r="E16" s="9" t="s">
        <v>78</v>
      </c>
      <c r="F16" s="6" t="s">
        <v>21</v>
      </c>
      <c r="G16" s="8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3" width="14.0"/>
    <col customWidth="1" min="4" max="4" width="24.0"/>
    <col customWidth="1" min="5" max="5" width="55.0"/>
    <col customWidth="1" min="6" max="6" width="32.0"/>
    <col customWidth="1" min="7" max="7" width="18.0"/>
    <col customWidth="1" min="8" max="26" width="8.71"/>
  </cols>
  <sheetData>
    <row r="1" ht="27.75" customHeight="1">
      <c r="A1" s="1" t="s">
        <v>25</v>
      </c>
    </row>
    <row r="3" ht="24.75" customHeight="1">
      <c r="A3" s="14" t="s">
        <v>35</v>
      </c>
      <c r="B3" s="14" t="s">
        <v>51</v>
      </c>
      <c r="C3" s="14" t="s">
        <v>54</v>
      </c>
      <c r="D3" s="14" t="s">
        <v>7</v>
      </c>
      <c r="E3" s="14" t="s">
        <v>59</v>
      </c>
      <c r="F3" s="14" t="s">
        <v>63</v>
      </c>
      <c r="G3" s="14" t="s">
        <v>64</v>
      </c>
    </row>
    <row r="4" ht="54.75" customHeight="1">
      <c r="A4" s="6" t="s">
        <v>80</v>
      </c>
      <c r="B4" s="8" t="s">
        <v>82</v>
      </c>
      <c r="C4" s="8" t="s">
        <v>83</v>
      </c>
      <c r="D4" s="7" t="s">
        <v>84</v>
      </c>
      <c r="E4" s="9" t="s">
        <v>86</v>
      </c>
      <c r="F4" s="9" t="s">
        <v>87</v>
      </c>
      <c r="G4" s="8" t="s">
        <v>88</v>
      </c>
    </row>
    <row r="5" ht="54.75" customHeight="1">
      <c r="A5" s="10" t="s">
        <v>89</v>
      </c>
      <c r="B5" s="12" t="s">
        <v>82</v>
      </c>
      <c r="C5" s="12" t="s">
        <v>83</v>
      </c>
      <c r="D5" s="11" t="s">
        <v>90</v>
      </c>
      <c r="E5" s="13" t="s">
        <v>91</v>
      </c>
      <c r="F5" s="13" t="s">
        <v>93</v>
      </c>
      <c r="G5" s="12" t="s">
        <v>88</v>
      </c>
    </row>
    <row r="6" ht="54.75" customHeight="1">
      <c r="A6" s="6" t="s">
        <v>94</v>
      </c>
      <c r="B6" s="8" t="s">
        <v>95</v>
      </c>
      <c r="C6" s="8" t="s">
        <v>98</v>
      </c>
      <c r="D6" s="7" t="s">
        <v>100</v>
      </c>
      <c r="E6" s="9" t="s">
        <v>102</v>
      </c>
      <c r="F6" s="9" t="s">
        <v>105</v>
      </c>
      <c r="G6" s="8" t="s">
        <v>88</v>
      </c>
    </row>
    <row r="7" ht="54.75" customHeight="1">
      <c r="A7" s="10" t="s">
        <v>107</v>
      </c>
      <c r="B7" s="12" t="s">
        <v>82</v>
      </c>
      <c r="C7" s="12" t="s">
        <v>83</v>
      </c>
      <c r="D7" s="11" t="s">
        <v>108</v>
      </c>
      <c r="E7" s="13" t="s">
        <v>110</v>
      </c>
      <c r="F7" s="13" t="s">
        <v>111</v>
      </c>
      <c r="G7" s="12" t="s">
        <v>88</v>
      </c>
    </row>
    <row r="8" ht="54.75" customHeight="1">
      <c r="A8" s="6" t="s">
        <v>113</v>
      </c>
      <c r="B8" s="8" t="s">
        <v>82</v>
      </c>
      <c r="C8" s="8" t="s">
        <v>83</v>
      </c>
      <c r="D8" s="7" t="s">
        <v>114</v>
      </c>
      <c r="E8" s="9" t="s">
        <v>115</v>
      </c>
      <c r="F8" s="9" t="s">
        <v>117</v>
      </c>
      <c r="G8" s="8" t="s">
        <v>88</v>
      </c>
    </row>
    <row r="9" ht="54.75" customHeight="1">
      <c r="A9" s="10" t="s">
        <v>119</v>
      </c>
      <c r="B9" s="12" t="s">
        <v>95</v>
      </c>
      <c r="C9" s="12" t="s">
        <v>98</v>
      </c>
      <c r="D9" s="11" t="s">
        <v>121</v>
      </c>
      <c r="E9" s="13" t="s">
        <v>122</v>
      </c>
      <c r="F9" s="13" t="s">
        <v>123</v>
      </c>
      <c r="G9" s="12" t="s">
        <v>88</v>
      </c>
    </row>
    <row r="10" ht="54.75" customHeight="1">
      <c r="A10" s="6" t="s">
        <v>124</v>
      </c>
      <c r="B10" s="8" t="s">
        <v>125</v>
      </c>
      <c r="C10" s="8" t="s">
        <v>126</v>
      </c>
      <c r="D10" s="7" t="s">
        <v>127</v>
      </c>
      <c r="E10" s="9" t="s">
        <v>128</v>
      </c>
      <c r="F10" s="9" t="s">
        <v>129</v>
      </c>
      <c r="G10" s="8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3" width="18.0"/>
    <col customWidth="1" min="4" max="7" width="12.0"/>
    <col customWidth="1" min="8" max="8" width="14.0"/>
    <col customWidth="1" min="9" max="9" width="16.0"/>
    <col customWidth="1" min="10" max="10" width="45.0"/>
    <col customWidth="1" min="11" max="26" width="8.71"/>
  </cols>
  <sheetData>
    <row r="1" ht="27.75" customHeight="1">
      <c r="A1" s="1" t="s">
        <v>202</v>
      </c>
    </row>
    <row r="2" ht="18.0" customHeight="1">
      <c r="A2" s="2" t="s">
        <v>205</v>
      </c>
    </row>
    <row r="4" ht="24.75" customHeight="1">
      <c r="A4" s="5" t="s">
        <v>207</v>
      </c>
      <c r="B4" s="5" t="s">
        <v>208</v>
      </c>
      <c r="C4" s="5" t="s">
        <v>209</v>
      </c>
      <c r="D4" s="5" t="s">
        <v>159</v>
      </c>
      <c r="E4" s="5" t="s">
        <v>165</v>
      </c>
      <c r="F4" s="5" t="s">
        <v>169</v>
      </c>
      <c r="G4" s="5" t="s">
        <v>174</v>
      </c>
      <c r="H4" s="5" t="s">
        <v>177</v>
      </c>
      <c r="I4" s="5" t="s">
        <v>101</v>
      </c>
      <c r="J4" s="5" t="s">
        <v>211</v>
      </c>
    </row>
    <row r="5" ht="24.0" customHeight="1">
      <c r="A5" s="10" t="s">
        <v>212</v>
      </c>
      <c r="B5" s="12" t="s">
        <v>215</v>
      </c>
      <c r="C5" s="13" t="s">
        <v>217</v>
      </c>
      <c r="D5" s="35">
        <v>4.0</v>
      </c>
      <c r="E5" s="35">
        <v>4.0</v>
      </c>
      <c r="F5" s="35">
        <v>4.0</v>
      </c>
      <c r="G5" s="35">
        <v>4.0</v>
      </c>
      <c r="H5" s="36">
        <f t="shared" ref="H5:H12" si="1">ROUND((D5+E5+F5+G5)/4*2,0)/2</f>
        <v>4</v>
      </c>
      <c r="I5" s="10" t="s">
        <v>232</v>
      </c>
      <c r="J5" s="13" t="s">
        <v>233</v>
      </c>
    </row>
    <row r="6" ht="24.0" customHeight="1">
      <c r="A6" s="6" t="s">
        <v>234</v>
      </c>
      <c r="B6" s="8" t="s">
        <v>235</v>
      </c>
      <c r="C6" s="9" t="s">
        <v>236</v>
      </c>
      <c r="D6" s="37">
        <v>4.5</v>
      </c>
      <c r="E6" s="37">
        <v>4.5</v>
      </c>
      <c r="F6" s="37">
        <v>4.5</v>
      </c>
      <c r="G6" s="37">
        <v>4.5</v>
      </c>
      <c r="H6" s="36">
        <f t="shared" si="1"/>
        <v>4.5</v>
      </c>
      <c r="I6" s="6" t="s">
        <v>239</v>
      </c>
      <c r="J6" s="9" t="s">
        <v>241</v>
      </c>
    </row>
    <row r="7" ht="24.0" customHeight="1">
      <c r="A7" s="10" t="s">
        <v>242</v>
      </c>
      <c r="B7" s="12" t="s">
        <v>243</v>
      </c>
      <c r="C7" s="13" t="s">
        <v>245</v>
      </c>
      <c r="D7" s="35">
        <v>5.5</v>
      </c>
      <c r="E7" s="35">
        <v>5.5</v>
      </c>
      <c r="F7" s="35">
        <v>5.0</v>
      </c>
      <c r="G7" s="35">
        <v>5.0</v>
      </c>
      <c r="H7" s="36">
        <f t="shared" si="1"/>
        <v>5.5</v>
      </c>
      <c r="I7" s="10" t="s">
        <v>137</v>
      </c>
      <c r="J7" s="13" t="s">
        <v>248</v>
      </c>
    </row>
    <row r="8" ht="24.0" customHeight="1">
      <c r="A8" s="6" t="s">
        <v>250</v>
      </c>
      <c r="B8" s="8" t="s">
        <v>251</v>
      </c>
      <c r="C8" s="9" t="s">
        <v>252</v>
      </c>
      <c r="D8" s="37">
        <v>6.0</v>
      </c>
      <c r="E8" s="37">
        <v>6.0</v>
      </c>
      <c r="F8" s="37">
        <v>5.5</v>
      </c>
      <c r="G8" s="37">
        <v>5.5</v>
      </c>
      <c r="H8" s="36">
        <f t="shared" si="1"/>
        <v>6</v>
      </c>
      <c r="I8" s="6" t="s">
        <v>253</v>
      </c>
      <c r="J8" s="9" t="s">
        <v>255</v>
      </c>
    </row>
    <row r="9" ht="24.0" customHeight="1">
      <c r="A9" s="10" t="s">
        <v>256</v>
      </c>
      <c r="B9" s="12" t="s">
        <v>257</v>
      </c>
      <c r="C9" s="13" t="s">
        <v>258</v>
      </c>
      <c r="D9" s="35">
        <v>6.5</v>
      </c>
      <c r="E9" s="35">
        <v>7.0</v>
      </c>
      <c r="F9" s="35">
        <v>6.0</v>
      </c>
      <c r="G9" s="35">
        <v>6.0</v>
      </c>
      <c r="H9" s="36">
        <f t="shared" si="1"/>
        <v>6.5</v>
      </c>
      <c r="I9" s="10" t="s">
        <v>143</v>
      </c>
      <c r="J9" s="13" t="s">
        <v>259</v>
      </c>
    </row>
    <row r="10" ht="24.0" customHeight="1">
      <c r="A10" s="6" t="s">
        <v>260</v>
      </c>
      <c r="B10" s="8" t="s">
        <v>261</v>
      </c>
      <c r="C10" s="9" t="s">
        <v>262</v>
      </c>
      <c r="D10" s="37">
        <v>7.0</v>
      </c>
      <c r="E10" s="37">
        <v>7.5</v>
      </c>
      <c r="F10" s="37">
        <v>6.5</v>
      </c>
      <c r="G10" s="37">
        <v>6.5</v>
      </c>
      <c r="H10" s="36">
        <f t="shared" si="1"/>
        <v>7</v>
      </c>
      <c r="I10" s="6" t="s">
        <v>264</v>
      </c>
      <c r="J10" s="9" t="s">
        <v>266</v>
      </c>
    </row>
    <row r="11" ht="24.0" customHeight="1">
      <c r="A11" s="10" t="s">
        <v>267</v>
      </c>
      <c r="B11" s="12" t="s">
        <v>268</v>
      </c>
      <c r="C11" s="13" t="s">
        <v>269</v>
      </c>
      <c r="D11" s="35">
        <v>7.5</v>
      </c>
      <c r="E11" s="35">
        <v>8.0</v>
      </c>
      <c r="F11" s="35">
        <v>6.5</v>
      </c>
      <c r="G11" s="35">
        <v>6.5</v>
      </c>
      <c r="H11" s="36">
        <f t="shared" si="1"/>
        <v>7</v>
      </c>
      <c r="I11" s="10" t="s">
        <v>148</v>
      </c>
      <c r="J11" s="13" t="s">
        <v>272</v>
      </c>
    </row>
    <row r="12" ht="24.0" customHeight="1">
      <c r="A12" s="6" t="s">
        <v>274</v>
      </c>
      <c r="B12" s="8" t="s">
        <v>275</v>
      </c>
      <c r="C12" s="9" t="s">
        <v>276</v>
      </c>
      <c r="D12" s="37">
        <v>8.0</v>
      </c>
      <c r="E12" s="37">
        <v>8.0</v>
      </c>
      <c r="F12" s="37">
        <v>6.5</v>
      </c>
      <c r="G12" s="37">
        <v>6.5</v>
      </c>
      <c r="H12" s="36">
        <f t="shared" si="1"/>
        <v>7.5</v>
      </c>
      <c r="I12" s="6" t="s">
        <v>278</v>
      </c>
      <c r="J12" s="9" t="s">
        <v>279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